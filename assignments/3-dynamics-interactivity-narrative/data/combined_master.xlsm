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014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andrewlevinson/programs/parsons/major-studio-1/assignments/3-dynamics-interactivity-narrative/data/"/>
    </mc:Choice>
  </mc:AlternateContent>
  <xr:revisionPtr revIDLastSave="0" documentId="13_ncr:40009_{16DD2E0C-21B7-4247-A73C-E1F30A17908A}" xr6:coauthVersionLast="38" xr6:coauthVersionMax="38" xr10:uidLastSave="{00000000-0000-0000-0000-000000000000}"/>
  <bookViews>
    <workbookView xWindow="0" yWindow="0" windowWidth="28800" windowHeight="18000" activeTab="1"/>
  </bookViews>
  <sheets>
    <sheet name="all_cleaned_formulas" sheetId="1" r:id="rId1"/>
    <sheet name="Sheet1" sheetId="2" r:id="rId2"/>
  </sheets>
  <externalReferences>
    <externalReference r:id="rId3"/>
    <externalReference r:id="rId4"/>
  </externalReferences>
  <definedNames>
    <definedName name="_xlnm._FilterDatabase" localSheetId="0" hidden="1">all_cleaned_formulas!$A$1:$K$190</definedName>
  </definedNames>
  <calcPr calcId="179021"/>
</workbook>
</file>

<file path=xl/calcChain.xml><?xml version="1.0" encoding="utf-8"?>
<calcChain xmlns="http://schemas.openxmlformats.org/spreadsheetml/2006/main">
  <c r="M3" i="1" l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2" i="1"/>
  <c r="L3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2" i="1"/>
  <c r="K2" i="1"/>
  <c r="J2" i="1"/>
  <c r="I2" i="1"/>
  <c r="H2" i="1"/>
  <c r="G2" i="1"/>
  <c r="F2" i="1"/>
</calcChain>
</file>

<file path=xl/sharedStrings.xml><?xml version="1.0" encoding="utf-8"?>
<sst xmlns="http://schemas.openxmlformats.org/spreadsheetml/2006/main" count="1763" uniqueCount="208">
  <si>
    <t>Country</t>
  </si>
  <si>
    <t>Ease</t>
  </si>
  <si>
    <t>Cost</t>
  </si>
  <si>
    <t>Access</t>
  </si>
  <si>
    <t>Category</t>
  </si>
  <si>
    <t>Afghanistan</t>
  </si>
  <si>
    <t>non</t>
  </si>
  <si>
    <t>Albania</t>
  </si>
  <si>
    <t>Algeria</t>
  </si>
  <si>
    <t>Angola</t>
  </si>
  <si>
    <t>sub</t>
  </si>
  <si>
    <t>Antigua and Barbuda</t>
  </si>
  <si>
    <t>Argentina</t>
  </si>
  <si>
    <t>Armenia</t>
  </si>
  <si>
    <t>Australia</t>
  </si>
  <si>
    <t>Austria</t>
  </si>
  <si>
    <t>Azerbaijan</t>
  </si>
  <si>
    <t>Bahamas, The</t>
  </si>
  <si>
    <t>Bahrain</t>
  </si>
  <si>
    <t>Bangladesh</t>
  </si>
  <si>
    <t>Barbados</t>
  </si>
  <si>
    <t>Belarus</t>
  </si>
  <si>
    <t>Belgium</t>
  </si>
  <si>
    <t>Belize</t>
  </si>
  <si>
    <t>Benin</t>
  </si>
  <si>
    <t>Bhutan</t>
  </si>
  <si>
    <t>Bolivia</t>
  </si>
  <si>
    <t>Bosnia and Herzegovina</t>
  </si>
  <si>
    <t>Botswana</t>
  </si>
  <si>
    <t>Brazil</t>
  </si>
  <si>
    <t>Brunei Darussalam</t>
  </si>
  <si>
    <t>Bulgaria</t>
  </si>
  <si>
    <t>Burkina Faso</t>
  </si>
  <si>
    <t>Burundi</t>
  </si>
  <si>
    <t>Cambodia</t>
  </si>
  <si>
    <t>Cameroon</t>
  </si>
  <si>
    <t>Canada</t>
  </si>
  <si>
    <t>Central African Republic</t>
  </si>
  <si>
    <t>Chad</t>
  </si>
  <si>
    <t>Chile</t>
  </si>
  <si>
    <t>China</t>
  </si>
  <si>
    <t>Colombia</t>
  </si>
  <si>
    <t>Comoros</t>
  </si>
  <si>
    <t>Congo, Dem. Rep.</t>
  </si>
  <si>
    <t>Congo, Rep.</t>
  </si>
  <si>
    <t>Costa Rica</t>
  </si>
  <si>
    <t>Cote d'Ivoire</t>
  </si>
  <si>
    <t>Croatia</t>
  </si>
  <si>
    <t>Cyprus</t>
  </si>
  <si>
    <t>Czech Republic</t>
  </si>
  <si>
    <t>Denmark</t>
  </si>
  <si>
    <t>top</t>
  </si>
  <si>
    <t>Djibouti</t>
  </si>
  <si>
    <t>Dominica</t>
  </si>
  <si>
    <t>Dominican Republic</t>
  </si>
  <si>
    <t>Ecuador</t>
  </si>
  <si>
    <t>Egypt, Arab Rep.</t>
  </si>
  <si>
    <t>El Salvador</t>
  </si>
  <si>
    <t>Equatorial Guinea</t>
  </si>
  <si>
    <t>Eritrea</t>
  </si>
  <si>
    <t>Estonia</t>
  </si>
  <si>
    <t>Ethiopia</t>
  </si>
  <si>
    <t>Fiji</t>
  </si>
  <si>
    <t>Finland</t>
  </si>
  <si>
    <t>France</t>
  </si>
  <si>
    <t>Gabon</t>
  </si>
  <si>
    <t>Gambia, The</t>
  </si>
  <si>
    <t>Georgia</t>
  </si>
  <si>
    <t>Germany</t>
  </si>
  <si>
    <t>Ghana</t>
  </si>
  <si>
    <t>Greece</t>
  </si>
  <si>
    <t>Grenada</t>
  </si>
  <si>
    <t>Guatemala</t>
  </si>
  <si>
    <t>Guinea</t>
  </si>
  <si>
    <t>Guinea-Bissau</t>
  </si>
  <si>
    <t>Guyana</t>
  </si>
  <si>
    <t>Haiti</t>
  </si>
  <si>
    <t>Honduras</t>
  </si>
  <si>
    <t>Hong Kong, China</t>
  </si>
  <si>
    <t>Hungary</t>
  </si>
  <si>
    <t>Iceland</t>
  </si>
  <si>
    <t>India</t>
  </si>
  <si>
    <t>Indonesia</t>
  </si>
  <si>
    <t>Iran, Islamic Rep.</t>
  </si>
  <si>
    <t>Iraq</t>
  </si>
  <si>
    <t>Ireland</t>
  </si>
  <si>
    <t>Israel</t>
  </si>
  <si>
    <t>Italy</t>
  </si>
  <si>
    <t>Jamaica</t>
  </si>
  <si>
    <t>Japan</t>
  </si>
  <si>
    <t>Jordan</t>
  </si>
  <si>
    <t>Kazakhstan</t>
  </si>
  <si>
    <t>Kenya</t>
  </si>
  <si>
    <t>Kiribati</t>
  </si>
  <si>
    <t>Korea, Rep.</t>
  </si>
  <si>
    <t>Kosovo</t>
  </si>
  <si>
    <t>Kuwait</t>
  </si>
  <si>
    <t>Kyrgyz Republic</t>
  </si>
  <si>
    <t>Lao PDR</t>
  </si>
  <si>
    <t>Latvia</t>
  </si>
  <si>
    <t>Lebanon</t>
  </si>
  <si>
    <t>Lesotho</t>
  </si>
  <si>
    <t>Liberia</t>
  </si>
  <si>
    <t>Libya</t>
  </si>
  <si>
    <t>Lithuania</t>
  </si>
  <si>
    <t>Luxembourg</t>
  </si>
  <si>
    <t>Macedonia, FYR</t>
  </si>
  <si>
    <t>Madagascar</t>
  </si>
  <si>
    <t>Malawi</t>
  </si>
  <si>
    <t>Malaysia</t>
  </si>
  <si>
    <t>Maldives</t>
  </si>
  <si>
    <t>Mali</t>
  </si>
  <si>
    <t>Malta</t>
  </si>
  <si>
    <t>Marshall Islands</t>
  </si>
  <si>
    <t>Mauritania</t>
  </si>
  <si>
    <t>Mauritius</t>
  </si>
  <si>
    <t>Mexico</t>
  </si>
  <si>
    <t>Micronesia, Fed. Sts.</t>
  </si>
  <si>
    <t>Moldova</t>
  </si>
  <si>
    <t>Mongolia</t>
  </si>
  <si>
    <t>Montenegro</t>
  </si>
  <si>
    <t>Morocco</t>
  </si>
  <si>
    <t>Mozambique</t>
  </si>
  <si>
    <t>Myanmar</t>
  </si>
  <si>
    <t>Namibia</t>
  </si>
  <si>
    <t>Nepal</t>
  </si>
  <si>
    <t>Netherlands</t>
  </si>
  <si>
    <t>New Zealand</t>
  </si>
  <si>
    <t>Nicaragua</t>
  </si>
  <si>
    <t>Niger</t>
  </si>
  <si>
    <t>Nigeria</t>
  </si>
  <si>
    <t>Norway</t>
  </si>
  <si>
    <t>Oman</t>
  </si>
  <si>
    <t>Pakistan</t>
  </si>
  <si>
    <t>Palau</t>
  </si>
  <si>
    <t>Panama</t>
  </si>
  <si>
    <t>Papua New Guinea</t>
  </si>
  <si>
    <t>Paraguay</t>
  </si>
  <si>
    <t>Peru</t>
  </si>
  <si>
    <t>Philippines</t>
  </si>
  <si>
    <t>Poland</t>
  </si>
  <si>
    <t>Portugal</t>
  </si>
  <si>
    <t>Puerto Rico</t>
  </si>
  <si>
    <t>Qatar</t>
  </si>
  <si>
    <t>Romania</t>
  </si>
  <si>
    <t>Russian Federation</t>
  </si>
  <si>
    <t>Rwanda</t>
  </si>
  <si>
    <t>Samoa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</si>
  <si>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</si>
  <si>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</si>
  <si>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</si>
  <si>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</si>
  <si>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</si>
  <si>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</si>
  <si>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</si>
  <si>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Singapore</t>
  </si>
  <si>
    <t>Slovak Republic</t>
  </si>
  <si>
    <t>Slovenia</t>
  </si>
  <si>
    <t>Solomon Islands</t>
  </si>
  <si>
    <t>Somalia</t>
  </si>
  <si>
    <t>South Africa</t>
  </si>
  <si>
    <t>South Sudan</t>
  </si>
  <si>
    <t>Spain</t>
  </si>
  <si>
    <t>Sri Lanka</t>
  </si>
  <si>
    <t>St. Kitts and Nevis</t>
  </si>
  <si>
    <t>St. Lucia</t>
  </si>
  <si>
    <t>St. Vincent and the Grenadines</t>
  </si>
  <si>
    <t>Sudan</t>
  </si>
  <si>
    <t>Suriname</t>
  </si>
  <si>
    <t>Sweden</t>
  </si>
  <si>
    <t>Switzerland</t>
  </si>
  <si>
    <t>Syrian Arab Republic</t>
  </si>
  <si>
    <t>Tajikistan</t>
  </si>
  <si>
    <t>Tanzania</t>
  </si>
  <si>
    <t>Thailand</t>
  </si>
  <si>
    <t>Timor-Leste</t>
  </si>
  <si>
    <t>Togo</t>
  </si>
  <si>
    <t>Tonga</t>
  </si>
  <si>
    <t>Trinidad and Tobago</t>
  </si>
  <si>
    <t>Tunisia</t>
  </si>
  <si>
    <t>Turkey</t>
  </si>
  <si>
    <t>Uganda</t>
  </si>
  <si>
    <t>Ukraine</t>
  </si>
  <si>
    <t>United Arab Emirates</t>
  </si>
  <si>
    <t>United Kingdom</t>
  </si>
  <si>
    <t>United States</t>
  </si>
  <si>
    <t>Uruguay</t>
  </si>
  <si>
    <t>Uzbekistan</t>
  </si>
  <si>
    <t>Vanuatu</t>
  </si>
  <si>
    <t>Venezuela, RB</t>
  </si>
  <si>
    <t>Vietnam</t>
  </si>
  <si>
    <t>West Bank and Gaza</t>
  </si>
  <si>
    <t>Yemen, Rep.</t>
  </si>
  <si>
    <t>Zambia</t>
  </si>
  <si>
    <t>Zimbabwe</t>
  </si>
  <si>
    <t>totalareakm2</t>
  </si>
  <si>
    <t>csptwh</t>
  </si>
  <si>
    <t>pvtwh</t>
  </si>
  <si>
    <t>wind20twh</t>
  </si>
  <si>
    <t>totaltwh</t>
  </si>
  <si>
    <t>perkm2</t>
  </si>
  <si>
    <t>nodata</t>
  </si>
  <si>
    <t>perperson</t>
  </si>
  <si>
    <t>Eswatini</t>
  </si>
  <si>
    <t>Cabo Verde</t>
  </si>
  <si>
    <t>population2017</t>
  </si>
  <si>
    <t>twhperperson</t>
  </si>
  <si>
    <t>twhperkm2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</si>
</sst>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aw%20and%20working%20files/potential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ndrewlevinson/Downloads/API_SP.POP.TOTL_DS2_en_csv_v2_10203548%20(1)/API_SP.POP.TOTL_DS2_en_csv_v2_10203548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w potential"/>
      <sheetName val="data"/>
      <sheetName val="pivot"/>
    </sheetNames>
    <sheetDataSet>
      <sheetData sheetId="0"/>
      <sheetData sheetId="1">
        <row r="2">
          <cell r="A2" t="str">
            <v>Algeria</v>
          </cell>
          <cell r="B2">
            <v>2316559</v>
          </cell>
          <cell r="C2">
            <v>26530</v>
          </cell>
          <cell r="D2">
            <v>27904</v>
          </cell>
          <cell r="E2">
            <v>30155</v>
          </cell>
          <cell r="F2">
            <v>84589</v>
          </cell>
          <cell r="G2">
            <v>3.6514934435082379E-2</v>
          </cell>
        </row>
        <row r="3">
          <cell r="A3" t="str">
            <v>Angola</v>
          </cell>
          <cell r="B3">
            <v>1247357</v>
          </cell>
          <cell r="C3">
            <v>9786</v>
          </cell>
          <cell r="D3">
            <v>13319</v>
          </cell>
          <cell r="E3">
            <v>202</v>
          </cell>
          <cell r="F3">
            <v>23307</v>
          </cell>
          <cell r="G3">
            <v>1.8685107791915227E-2</v>
          </cell>
        </row>
        <row r="4">
          <cell r="A4" t="str">
            <v>Benin</v>
          </cell>
          <cell r="B4">
            <v>115543</v>
          </cell>
          <cell r="C4">
            <v>0</v>
          </cell>
          <cell r="D4">
            <v>3898</v>
          </cell>
          <cell r="E4">
            <v>405</v>
          </cell>
          <cell r="F4">
            <v>4303</v>
          </cell>
          <cell r="G4">
            <v>3.7241546437257127E-2</v>
          </cell>
        </row>
        <row r="5">
          <cell r="A5" t="str">
            <v>Botswana</v>
          </cell>
          <cell r="B5">
            <v>578084</v>
          </cell>
          <cell r="C5">
            <v>13070</v>
          </cell>
          <cell r="D5">
            <v>13764</v>
          </cell>
          <cell r="E5">
            <v>9793</v>
          </cell>
          <cell r="F5">
            <v>36627</v>
          </cell>
          <cell r="G5">
            <v>6.3359304184167006E-2</v>
          </cell>
        </row>
        <row r="6">
          <cell r="A6" t="str">
            <v>Burkina Faso</v>
          </cell>
          <cell r="B6">
            <v>273367</v>
          </cell>
          <cell r="C6">
            <v>0</v>
          </cell>
          <cell r="D6">
            <v>7742</v>
          </cell>
          <cell r="E6">
            <v>4154</v>
          </cell>
          <cell r="F6">
            <v>11896</v>
          </cell>
          <cell r="G6">
            <v>4.3516591249126629E-2</v>
          </cell>
        </row>
        <row r="7">
          <cell r="A7" t="str">
            <v>Burundi</v>
          </cell>
          <cell r="B7">
            <v>26949</v>
          </cell>
          <cell r="C7">
            <v>786</v>
          </cell>
          <cell r="D7">
            <v>888</v>
          </cell>
          <cell r="E7">
            <v>0</v>
          </cell>
          <cell r="F7">
            <v>1674</v>
          </cell>
          <cell r="G7">
            <v>6.211733273961928E-2</v>
          </cell>
        </row>
        <row r="8">
          <cell r="A8" t="str">
            <v>Cameroon</v>
          </cell>
          <cell r="B8">
            <v>466295</v>
          </cell>
          <cell r="C8">
            <v>3706</v>
          </cell>
          <cell r="D8">
            <v>10105</v>
          </cell>
          <cell r="E8">
            <v>979</v>
          </cell>
          <cell r="F8">
            <v>14790</v>
          </cell>
          <cell r="G8">
            <v>3.1718118358549846E-2</v>
          </cell>
        </row>
        <row r="9">
          <cell r="A9" t="str">
            <v>Central African Republic</v>
          </cell>
          <cell r="B9">
            <v>620200</v>
          </cell>
          <cell r="C9">
            <v>3471</v>
          </cell>
          <cell r="D9">
            <v>5284</v>
          </cell>
          <cell r="E9">
            <v>79</v>
          </cell>
          <cell r="F9">
            <v>8834</v>
          </cell>
          <cell r="G9">
            <v>1.4243792325056433E-2</v>
          </cell>
        </row>
        <row r="10">
          <cell r="A10" t="str">
            <v>Chad</v>
          </cell>
          <cell r="B10">
            <v>1269961</v>
          </cell>
          <cell r="C10">
            <v>10284</v>
          </cell>
          <cell r="D10">
            <v>10506</v>
          </cell>
          <cell r="E10">
            <v>9165</v>
          </cell>
          <cell r="F10">
            <v>29955</v>
          </cell>
          <cell r="G10">
            <v>2.358733850882035E-2</v>
          </cell>
        </row>
        <row r="11">
          <cell r="A11" t="str">
            <v>Congo, Rep.</v>
          </cell>
          <cell r="B11">
            <v>341574</v>
          </cell>
          <cell r="C11">
            <v>2</v>
          </cell>
          <cell r="D11">
            <v>6778</v>
          </cell>
          <cell r="E11">
            <v>0</v>
          </cell>
          <cell r="F11">
            <v>6780</v>
          </cell>
          <cell r="G11">
            <v>1.9849285952677896E-2</v>
          </cell>
        </row>
        <row r="12">
          <cell r="A12" t="str">
            <v>Congo, Dem. Rep.</v>
          </cell>
          <cell r="B12">
            <v>2327986</v>
          </cell>
          <cell r="C12">
            <v>12439</v>
          </cell>
          <cell r="D12">
            <v>22862</v>
          </cell>
          <cell r="E12">
            <v>2173</v>
          </cell>
          <cell r="F12">
            <v>37474</v>
          </cell>
          <cell r="G12">
            <v>1.6097175842122762E-2</v>
          </cell>
        </row>
        <row r="13">
          <cell r="A13" t="str">
            <v>Cote d'Ivoire</v>
          </cell>
          <cell r="B13">
            <v>321882</v>
          </cell>
          <cell r="C13">
            <v>221</v>
          </cell>
          <cell r="D13">
            <v>10325</v>
          </cell>
          <cell r="E13">
            <v>430</v>
          </cell>
          <cell r="F13">
            <v>10976</v>
          </cell>
          <cell r="G13">
            <v>3.4099452594429015E-2</v>
          </cell>
        </row>
        <row r="14">
          <cell r="A14" t="str">
            <v>Djibouti</v>
          </cell>
          <cell r="B14">
            <v>21679</v>
          </cell>
          <cell r="C14">
            <v>852</v>
          </cell>
          <cell r="D14">
            <v>947</v>
          </cell>
          <cell r="E14">
            <v>934</v>
          </cell>
          <cell r="F14">
            <v>2733</v>
          </cell>
          <cell r="G14">
            <v>0.12606670049356519</v>
          </cell>
        </row>
        <row r="15">
          <cell r="A15" t="str">
            <v>Egypt, Arab Rep.</v>
          </cell>
          <cell r="B15">
            <v>982446</v>
          </cell>
          <cell r="C15">
            <v>26605</v>
          </cell>
          <cell r="D15">
            <v>32218</v>
          </cell>
          <cell r="E15">
            <v>36601</v>
          </cell>
          <cell r="F15">
            <v>95424</v>
          </cell>
          <cell r="G15">
            <v>9.7129002510061624E-2</v>
          </cell>
        </row>
        <row r="16">
          <cell r="A16" t="str">
            <v>Equatorial Guinea</v>
          </cell>
          <cell r="B16">
            <v>26987</v>
          </cell>
          <cell r="C16">
            <v>0</v>
          </cell>
          <cell r="D16">
            <v>706</v>
          </cell>
          <cell r="E16">
            <v>0</v>
          </cell>
          <cell r="F16">
            <v>706</v>
          </cell>
          <cell r="G16">
            <v>2.6160744061955756E-2</v>
          </cell>
        </row>
        <row r="17">
          <cell r="A17" t="str">
            <v>Eritrea</v>
          </cell>
          <cell r="B17">
            <v>122098</v>
          </cell>
          <cell r="C17">
            <v>4349</v>
          </cell>
          <cell r="D17">
            <v>4775</v>
          </cell>
          <cell r="E17">
            <v>3154</v>
          </cell>
          <cell r="F17">
            <v>12278</v>
          </cell>
          <cell r="G17">
            <v>0.10055856770790676</v>
          </cell>
        </row>
        <row r="18">
          <cell r="A18" t="str">
            <v>Ethiopia</v>
          </cell>
          <cell r="B18">
            <v>1127582</v>
          </cell>
          <cell r="C18">
            <v>22959</v>
          </cell>
          <cell r="D18">
            <v>27154</v>
          </cell>
          <cell r="E18">
            <v>14838</v>
          </cell>
          <cell r="F18">
            <v>64951</v>
          </cell>
          <cell r="G18">
            <v>5.7602019187961498E-2</v>
          </cell>
        </row>
        <row r="19">
          <cell r="A19" t="str">
            <v>Gabon</v>
          </cell>
          <cell r="B19">
            <v>264715</v>
          </cell>
          <cell r="C19">
            <v>6</v>
          </cell>
          <cell r="D19">
            <v>5402</v>
          </cell>
          <cell r="E19">
            <v>0</v>
          </cell>
          <cell r="F19">
            <v>5408</v>
          </cell>
          <cell r="G19">
            <v>2.0429518538805886E-2</v>
          </cell>
        </row>
        <row r="20">
          <cell r="A20" t="str">
            <v>Gambia, The</v>
          </cell>
          <cell r="B20">
            <v>10797</v>
          </cell>
          <cell r="C20">
            <v>316</v>
          </cell>
          <cell r="D20">
            <v>474</v>
          </cell>
          <cell r="E20">
            <v>173</v>
          </cell>
          <cell r="F20">
            <v>963</v>
          </cell>
          <cell r="G20">
            <v>8.9191442067240903E-2</v>
          </cell>
        </row>
        <row r="21">
          <cell r="A21" t="str">
            <v>Ghana</v>
          </cell>
          <cell r="B21">
            <v>238761</v>
          </cell>
          <cell r="C21">
            <v>229</v>
          </cell>
          <cell r="D21">
            <v>7644</v>
          </cell>
          <cell r="E21">
            <v>606</v>
          </cell>
          <cell r="F21">
            <v>8479</v>
          </cell>
          <cell r="G21">
            <v>3.5512499947646388E-2</v>
          </cell>
        </row>
        <row r="22">
          <cell r="A22" t="str">
            <v>Guinea</v>
          </cell>
          <cell r="B22">
            <v>244871</v>
          </cell>
          <cell r="C22">
            <v>467</v>
          </cell>
          <cell r="D22">
            <v>5204</v>
          </cell>
          <cell r="E22">
            <v>2</v>
          </cell>
          <cell r="F22">
            <v>5673</v>
          </cell>
          <cell r="G22">
            <v>2.3167300333645061E-2</v>
          </cell>
        </row>
        <row r="23">
          <cell r="A23" t="str">
            <v>Guinea-Bissau</v>
          </cell>
          <cell r="B23">
            <v>33974</v>
          </cell>
          <cell r="C23">
            <v>906</v>
          </cell>
          <cell r="D23">
            <v>1493</v>
          </cell>
          <cell r="E23">
            <v>124</v>
          </cell>
          <cell r="F23">
            <v>2523</v>
          </cell>
          <cell r="G23">
            <v>7.4262671454641785E-2</v>
          </cell>
        </row>
        <row r="24">
          <cell r="A24" t="str">
            <v>Kenya</v>
          </cell>
          <cell r="B24">
            <v>582253</v>
          </cell>
          <cell r="C24">
            <v>15399</v>
          </cell>
          <cell r="D24">
            <v>23046</v>
          </cell>
          <cell r="E24">
            <v>22476</v>
          </cell>
          <cell r="F24">
            <v>60921</v>
          </cell>
          <cell r="G24">
            <v>0.10462977434208154</v>
          </cell>
        </row>
        <row r="25">
          <cell r="A25" t="str">
            <v>Lesotho</v>
          </cell>
          <cell r="B25">
            <v>30454</v>
          </cell>
          <cell r="C25">
            <v>1122</v>
          </cell>
          <cell r="D25">
            <v>938</v>
          </cell>
          <cell r="E25">
            <v>599</v>
          </cell>
          <cell r="F25">
            <v>2659</v>
          </cell>
          <cell r="G25">
            <v>8.7312011558415975E-2</v>
          </cell>
        </row>
        <row r="26">
          <cell r="A26" t="str">
            <v>Liberia</v>
          </cell>
          <cell r="B26">
            <v>95877</v>
          </cell>
          <cell r="C26">
            <v>0</v>
          </cell>
          <cell r="D26">
            <v>667</v>
          </cell>
          <cell r="E26">
            <v>0</v>
          </cell>
          <cell r="F26">
            <v>667</v>
          </cell>
          <cell r="G26">
            <v>6.9568301052390039E-3</v>
          </cell>
        </row>
        <row r="27">
          <cell r="A27" t="str">
            <v>Libya</v>
          </cell>
          <cell r="B27">
            <v>1616869</v>
          </cell>
          <cell r="C27">
            <v>11823</v>
          </cell>
          <cell r="D27">
            <v>13979</v>
          </cell>
          <cell r="E27">
            <v>21649</v>
          </cell>
          <cell r="F27">
            <v>47451</v>
          </cell>
          <cell r="G27">
            <v>2.9347461049720171E-2</v>
          </cell>
        </row>
        <row r="28">
          <cell r="A28" t="str">
            <v>Madagascar</v>
          </cell>
          <cell r="B28">
            <v>591575</v>
          </cell>
          <cell r="C28">
            <v>3194</v>
          </cell>
          <cell r="D28">
            <v>4987</v>
          </cell>
          <cell r="E28">
            <v>2617</v>
          </cell>
          <cell r="F28">
            <v>10798</v>
          </cell>
          <cell r="G28">
            <v>1.8252968769809409E-2</v>
          </cell>
        </row>
        <row r="29">
          <cell r="A29" t="str">
            <v>Malawi</v>
          </cell>
          <cell r="B29">
            <v>118062</v>
          </cell>
          <cell r="C29">
            <v>4474</v>
          </cell>
          <cell r="D29">
            <v>5210</v>
          </cell>
          <cell r="E29">
            <v>1986</v>
          </cell>
          <cell r="F29">
            <v>11670</v>
          </cell>
          <cell r="G29">
            <v>9.884636885704122E-2</v>
          </cell>
        </row>
        <row r="30">
          <cell r="A30" t="str">
            <v>Mali</v>
          </cell>
          <cell r="B30">
            <v>1251574</v>
          </cell>
          <cell r="C30">
            <v>0</v>
          </cell>
          <cell r="D30">
            <v>7906</v>
          </cell>
          <cell r="E30">
            <v>1923</v>
          </cell>
          <cell r="F30">
            <v>9829</v>
          </cell>
          <cell r="G30">
            <v>7.8533111106494705E-3</v>
          </cell>
        </row>
        <row r="31">
          <cell r="A31" t="str">
            <v>Mauritania</v>
          </cell>
          <cell r="B31">
            <v>1040738</v>
          </cell>
          <cell r="C31">
            <v>4988</v>
          </cell>
          <cell r="D31">
            <v>7990</v>
          </cell>
          <cell r="E31">
            <v>11822</v>
          </cell>
          <cell r="F31">
            <v>24800</v>
          </cell>
          <cell r="G31">
            <v>2.3829244247831827E-2</v>
          </cell>
        </row>
        <row r="32">
          <cell r="A32" t="str">
            <v>Morocco</v>
          </cell>
          <cell r="B32">
            <v>406318</v>
          </cell>
          <cell r="C32">
            <v>15127</v>
          </cell>
          <cell r="D32">
            <v>15155</v>
          </cell>
          <cell r="E32">
            <v>11297</v>
          </cell>
          <cell r="F32">
            <v>41579</v>
          </cell>
          <cell r="G32">
            <v>0.10233117902726437</v>
          </cell>
        </row>
        <row r="33">
          <cell r="A33" t="str">
            <v>Mozambique</v>
          </cell>
          <cell r="B33">
            <v>786096</v>
          </cell>
          <cell r="C33">
            <v>16851</v>
          </cell>
          <cell r="D33">
            <v>22024</v>
          </cell>
          <cell r="E33">
            <v>10805</v>
          </cell>
          <cell r="F33">
            <v>49680</v>
          </cell>
          <cell r="G33">
            <v>6.31983879831471E-2</v>
          </cell>
        </row>
        <row r="34">
          <cell r="A34" t="str">
            <v>Namibia</v>
          </cell>
          <cell r="B34">
            <v>824205</v>
          </cell>
          <cell r="C34">
            <v>29716</v>
          </cell>
          <cell r="D34">
            <v>26183</v>
          </cell>
          <cell r="E34">
            <v>15196</v>
          </cell>
          <cell r="F34">
            <v>71095</v>
          </cell>
          <cell r="G34">
            <v>8.6258879768989508E-2</v>
          </cell>
        </row>
        <row r="35">
          <cell r="A35" t="str">
            <v>Niger</v>
          </cell>
          <cell r="B35">
            <v>1183766</v>
          </cell>
          <cell r="C35">
            <v>8829</v>
          </cell>
          <cell r="D35">
            <v>15669</v>
          </cell>
          <cell r="E35">
            <v>14628</v>
          </cell>
          <cell r="F35">
            <v>39126</v>
          </cell>
          <cell r="G35">
            <v>3.3052140372337099E-2</v>
          </cell>
        </row>
        <row r="36">
          <cell r="A36" t="str">
            <v>Nigeria</v>
          </cell>
          <cell r="B36">
            <v>909481</v>
          </cell>
          <cell r="C36">
            <v>10045</v>
          </cell>
          <cell r="D36">
            <v>32456</v>
          </cell>
          <cell r="E36">
            <v>12867</v>
          </cell>
          <cell r="F36">
            <v>55368</v>
          </cell>
          <cell r="G36">
            <v>6.0878676959716584E-2</v>
          </cell>
        </row>
        <row r="37">
          <cell r="A37" t="str">
            <v>Rwanda</v>
          </cell>
          <cell r="B37">
            <v>25206</v>
          </cell>
          <cell r="C37">
            <v>789</v>
          </cell>
          <cell r="D37">
            <v>892</v>
          </cell>
          <cell r="E37">
            <v>0</v>
          </cell>
          <cell r="F37">
            <v>1681</v>
          </cell>
          <cell r="G37">
            <v>6.6690470522891371E-2</v>
          </cell>
        </row>
        <row r="38">
          <cell r="A38" t="str">
            <v>Senegal</v>
          </cell>
          <cell r="B38">
            <v>196761</v>
          </cell>
          <cell r="C38">
            <v>1537</v>
          </cell>
          <cell r="D38">
            <v>7519</v>
          </cell>
          <cell r="E38">
            <v>5454</v>
          </cell>
          <cell r="F38">
            <v>14510</v>
          </cell>
          <cell r="G38">
            <v>7.3744288756410065E-2</v>
          </cell>
        </row>
        <row r="39">
          <cell r="A39" t="str">
            <v>Sierra Leone</v>
          </cell>
          <cell r="B39">
            <v>72322</v>
          </cell>
          <cell r="C39">
            <v>197</v>
          </cell>
          <cell r="D39">
            <v>1499</v>
          </cell>
          <cell r="E39">
            <v>0</v>
          </cell>
          <cell r="F39">
            <v>1696</v>
          </cell>
          <cell r="G39">
            <v>2.3450678908216033E-2</v>
          </cell>
        </row>
        <row r="40">
          <cell r="A40" t="str">
            <v>Somalia</v>
          </cell>
          <cell r="B40">
            <v>633217</v>
          </cell>
          <cell r="C40">
            <v>13156</v>
          </cell>
          <cell r="D40">
            <v>25687</v>
          </cell>
          <cell r="E40">
            <v>43539</v>
          </cell>
          <cell r="F40">
            <v>82382</v>
          </cell>
          <cell r="G40">
            <v>0.13010073955689755</v>
          </cell>
        </row>
        <row r="41">
          <cell r="A41" t="str">
            <v>South Africa</v>
          </cell>
          <cell r="B41">
            <v>1220394</v>
          </cell>
          <cell r="C41">
            <v>43275</v>
          </cell>
          <cell r="D41">
            <v>42243</v>
          </cell>
          <cell r="E41">
            <v>41195</v>
          </cell>
          <cell r="F41">
            <v>126713</v>
          </cell>
          <cell r="G41">
            <v>0.10382958290519291</v>
          </cell>
        </row>
        <row r="42">
          <cell r="A42" t="str">
            <v>Sudan</v>
          </cell>
          <cell r="B42">
            <v>2503827</v>
          </cell>
          <cell r="C42">
            <v>77422</v>
          </cell>
          <cell r="D42">
            <v>87817</v>
          </cell>
          <cell r="E42">
            <v>61661</v>
          </cell>
          <cell r="F42">
            <v>226900</v>
          </cell>
          <cell r="G42">
            <v>9.0621276949246099E-2</v>
          </cell>
        </row>
        <row r="43">
          <cell r="A43" t="str">
            <v>Eswatini</v>
          </cell>
          <cell r="B43">
            <v>17289</v>
          </cell>
          <cell r="C43">
            <v>559</v>
          </cell>
          <cell r="D43">
            <v>572</v>
          </cell>
          <cell r="E43">
            <v>476</v>
          </cell>
          <cell r="F43">
            <v>1607</v>
          </cell>
          <cell r="G43">
            <v>9.2949274104922208E-2</v>
          </cell>
        </row>
        <row r="44">
          <cell r="A44" t="str">
            <v>Tanzania</v>
          </cell>
          <cell r="B44">
            <v>941758</v>
          </cell>
          <cell r="C44">
            <v>31482</v>
          </cell>
          <cell r="D44">
            <v>38804</v>
          </cell>
          <cell r="E44">
            <v>18456</v>
          </cell>
          <cell r="F44">
            <v>88742</v>
          </cell>
          <cell r="G44">
            <v>9.423015254449657E-2</v>
          </cell>
        </row>
        <row r="45">
          <cell r="A45" t="str">
            <v>Togo</v>
          </cell>
          <cell r="B45">
            <v>57038</v>
          </cell>
          <cell r="C45">
            <v>0</v>
          </cell>
          <cell r="D45">
            <v>1257</v>
          </cell>
          <cell r="E45">
            <v>79</v>
          </cell>
          <cell r="F45">
            <v>1336</v>
          </cell>
          <cell r="G45">
            <v>2.3422981170447773E-2</v>
          </cell>
        </row>
        <row r="46">
          <cell r="A46" t="str">
            <v>Tunisia</v>
          </cell>
          <cell r="B46">
            <v>155176</v>
          </cell>
          <cell r="C46">
            <v>2045</v>
          </cell>
          <cell r="D46">
            <v>4645</v>
          </cell>
          <cell r="E46">
            <v>6842</v>
          </cell>
          <cell r="F46">
            <v>13532</v>
          </cell>
          <cell r="G46">
            <v>8.7204206836108675E-2</v>
          </cell>
        </row>
        <row r="47">
          <cell r="A47" t="str">
            <v>Uganda</v>
          </cell>
          <cell r="B47">
            <v>241278</v>
          </cell>
          <cell r="C47">
            <v>8582</v>
          </cell>
          <cell r="D47">
            <v>9470</v>
          </cell>
          <cell r="E47">
            <v>815</v>
          </cell>
          <cell r="F47">
            <v>18867</v>
          </cell>
          <cell r="G47">
            <v>7.8196105736950738E-2</v>
          </cell>
        </row>
        <row r="48">
          <cell r="A48" t="str">
            <v>United States</v>
          </cell>
          <cell r="B48">
            <v>9834000</v>
          </cell>
          <cell r="C48">
            <v>116100</v>
          </cell>
          <cell r="D48">
            <v>283710</v>
          </cell>
          <cell r="E48">
            <v>49760</v>
          </cell>
          <cell r="F48">
            <v>449570</v>
          </cell>
          <cell r="G48">
            <v>4.5715883668903806E-2</v>
          </cell>
        </row>
        <row r="49">
          <cell r="A49" t="str">
            <v>Zambia</v>
          </cell>
          <cell r="B49">
            <v>751315</v>
          </cell>
          <cell r="C49">
            <v>15691</v>
          </cell>
          <cell r="D49">
            <v>17894</v>
          </cell>
          <cell r="E49">
            <v>13229</v>
          </cell>
          <cell r="F49">
            <v>46814</v>
          </cell>
          <cell r="G49">
            <v>6.2309417488004365E-2</v>
          </cell>
        </row>
        <row r="50">
          <cell r="A50" t="str">
            <v>Zimbabwe</v>
          </cell>
          <cell r="B50">
            <v>390649</v>
          </cell>
          <cell r="C50">
            <v>11874</v>
          </cell>
          <cell r="D50">
            <v>15684</v>
          </cell>
          <cell r="E50">
            <v>12137</v>
          </cell>
          <cell r="F50">
            <v>39695</v>
          </cell>
          <cell r="G50">
            <v>0.10161295689992807</v>
          </cell>
        </row>
      </sheetData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PI_SP.POP.TOTL_DS2_en_csv_v2_1"/>
      <sheetName val="Sheet1"/>
    </sheetNames>
    <sheetDataSet>
      <sheetData sheetId="0"/>
      <sheetData sheetId="1">
        <row r="2">
          <cell r="A2" t="str">
            <v>Aruba</v>
          </cell>
          <cell r="B2" t="str">
            <v>ABW</v>
          </cell>
          <cell r="C2" t="str">
            <v>Population, total</v>
          </cell>
          <cell r="D2" t="str">
            <v>SP.POP.TOTL</v>
          </cell>
          <cell r="E2">
            <v>104341</v>
          </cell>
          <cell r="F2">
            <v>104822</v>
          </cell>
          <cell r="G2">
            <v>105264</v>
          </cell>
        </row>
        <row r="3">
          <cell r="A3" t="str">
            <v>Afghanistan</v>
          </cell>
          <cell r="B3" t="str">
            <v>AFG</v>
          </cell>
          <cell r="C3" t="str">
            <v>Population, total</v>
          </cell>
          <cell r="D3" t="str">
            <v>SP.POP.TOTL</v>
          </cell>
          <cell r="E3">
            <v>33736494</v>
          </cell>
          <cell r="F3">
            <v>34656032</v>
          </cell>
          <cell r="G3">
            <v>35530081</v>
          </cell>
        </row>
        <row r="4">
          <cell r="A4" t="str">
            <v>Angola</v>
          </cell>
          <cell r="B4" t="str">
            <v>AGO</v>
          </cell>
          <cell r="C4" t="str">
            <v>Population, total</v>
          </cell>
          <cell r="D4" t="str">
            <v>SP.POP.TOTL</v>
          </cell>
          <cell r="E4">
            <v>27859305</v>
          </cell>
          <cell r="F4">
            <v>28813463</v>
          </cell>
          <cell r="G4">
            <v>29784193</v>
          </cell>
        </row>
        <row r="5">
          <cell r="A5" t="str">
            <v>Albania</v>
          </cell>
          <cell r="B5" t="str">
            <v>ALB</v>
          </cell>
          <cell r="C5" t="str">
            <v>Population, total</v>
          </cell>
          <cell r="D5" t="str">
            <v>SP.POP.TOTL</v>
          </cell>
          <cell r="E5">
            <v>2880703</v>
          </cell>
          <cell r="F5">
            <v>2876101</v>
          </cell>
          <cell r="G5">
            <v>2873457</v>
          </cell>
        </row>
        <row r="6">
          <cell r="A6" t="str">
            <v>Andorra</v>
          </cell>
          <cell r="B6" t="str">
            <v>AND</v>
          </cell>
          <cell r="C6" t="str">
            <v>Population, total</v>
          </cell>
          <cell r="D6" t="str">
            <v>SP.POP.TOTL</v>
          </cell>
          <cell r="E6">
            <v>78014</v>
          </cell>
          <cell r="F6">
            <v>77281</v>
          </cell>
          <cell r="G6">
            <v>76965</v>
          </cell>
        </row>
        <row r="7">
          <cell r="A7" t="str">
            <v>Arab World</v>
          </cell>
          <cell r="B7" t="str">
            <v>ARB</v>
          </cell>
          <cell r="C7" t="str">
            <v>Population, total</v>
          </cell>
          <cell r="D7" t="str">
            <v>SP.POP.TOTL</v>
          </cell>
          <cell r="E7">
            <v>398304960</v>
          </cell>
          <cell r="F7">
            <v>406452690</v>
          </cell>
          <cell r="G7">
            <v>414491886</v>
          </cell>
        </row>
        <row r="8">
          <cell r="A8" t="str">
            <v>United Arab Emirates</v>
          </cell>
          <cell r="B8" t="str">
            <v>ARE</v>
          </cell>
          <cell r="C8" t="str">
            <v>Population, total</v>
          </cell>
          <cell r="D8" t="str">
            <v>SP.POP.TOTL</v>
          </cell>
          <cell r="E8">
            <v>9154302</v>
          </cell>
          <cell r="F8">
            <v>9269612</v>
          </cell>
          <cell r="G8">
            <v>9400145</v>
          </cell>
        </row>
        <row r="9">
          <cell r="A9" t="str">
            <v>Argentina</v>
          </cell>
          <cell r="B9" t="str">
            <v>ARG</v>
          </cell>
          <cell r="C9" t="str">
            <v>Population, total</v>
          </cell>
          <cell r="D9" t="str">
            <v>SP.POP.TOTL</v>
          </cell>
          <cell r="E9">
            <v>43417765</v>
          </cell>
          <cell r="F9">
            <v>43847430</v>
          </cell>
          <cell r="G9">
            <v>44271041</v>
          </cell>
        </row>
        <row r="10">
          <cell r="A10" t="str">
            <v>Armenia</v>
          </cell>
          <cell r="B10" t="str">
            <v>ARM</v>
          </cell>
          <cell r="C10" t="str">
            <v>Population, total</v>
          </cell>
          <cell r="D10" t="str">
            <v>SP.POP.TOTL</v>
          </cell>
          <cell r="E10">
            <v>2916950</v>
          </cell>
          <cell r="F10">
            <v>2924816</v>
          </cell>
          <cell r="G10">
            <v>2930450</v>
          </cell>
        </row>
        <row r="11">
          <cell r="A11" t="str">
            <v>American Samoa</v>
          </cell>
          <cell r="B11" t="str">
            <v>ASM</v>
          </cell>
          <cell r="C11" t="str">
            <v>Population, total</v>
          </cell>
          <cell r="D11" t="str">
            <v>SP.POP.TOTL</v>
          </cell>
          <cell r="E11">
            <v>55537</v>
          </cell>
          <cell r="F11">
            <v>55599</v>
          </cell>
          <cell r="G11">
            <v>55641</v>
          </cell>
        </row>
        <row r="12">
          <cell r="A12" t="str">
            <v>Antigua and Barbuda</v>
          </cell>
          <cell r="B12" t="str">
            <v>ATG</v>
          </cell>
          <cell r="C12" t="str">
            <v>Population, total</v>
          </cell>
          <cell r="D12" t="str">
            <v>SP.POP.TOTL</v>
          </cell>
          <cell r="E12">
            <v>99923</v>
          </cell>
          <cell r="F12">
            <v>100963</v>
          </cell>
          <cell r="G12">
            <v>102012</v>
          </cell>
        </row>
        <row r="13">
          <cell r="A13" t="str">
            <v>Australia</v>
          </cell>
          <cell r="B13" t="str">
            <v>AUS</v>
          </cell>
          <cell r="C13" t="str">
            <v>Population, total</v>
          </cell>
          <cell r="D13" t="str">
            <v>SP.POP.TOTL</v>
          </cell>
          <cell r="E13">
            <v>23850784</v>
          </cell>
          <cell r="F13">
            <v>24210809</v>
          </cell>
          <cell r="G13">
            <v>24598933</v>
          </cell>
        </row>
        <row r="14">
          <cell r="A14" t="str">
            <v>Austria</v>
          </cell>
          <cell r="B14" t="str">
            <v>AUT</v>
          </cell>
          <cell r="C14" t="str">
            <v>Population, total</v>
          </cell>
          <cell r="D14" t="str">
            <v>SP.POP.TOTL</v>
          </cell>
          <cell r="E14">
            <v>8642699</v>
          </cell>
          <cell r="F14">
            <v>8736668</v>
          </cell>
          <cell r="G14">
            <v>8809212</v>
          </cell>
        </row>
        <row r="15">
          <cell r="A15" t="str">
            <v>Azerbaijan</v>
          </cell>
          <cell r="B15" t="str">
            <v>AZE</v>
          </cell>
          <cell r="C15" t="str">
            <v>Population, total</v>
          </cell>
          <cell r="D15" t="str">
            <v>SP.POP.TOTL</v>
          </cell>
          <cell r="E15">
            <v>9649341</v>
          </cell>
          <cell r="F15">
            <v>9757812</v>
          </cell>
          <cell r="G15">
            <v>9862429</v>
          </cell>
        </row>
        <row r="16">
          <cell r="A16" t="str">
            <v>Burundi</v>
          </cell>
          <cell r="B16" t="str">
            <v>BDI</v>
          </cell>
          <cell r="C16" t="str">
            <v>Population, total</v>
          </cell>
          <cell r="D16" t="str">
            <v>SP.POP.TOTL</v>
          </cell>
          <cell r="E16">
            <v>10199270</v>
          </cell>
          <cell r="F16">
            <v>10524117</v>
          </cell>
          <cell r="G16">
            <v>10864245</v>
          </cell>
        </row>
        <row r="17">
          <cell r="A17" t="str">
            <v>Belgium</v>
          </cell>
          <cell r="B17" t="str">
            <v>BEL</v>
          </cell>
          <cell r="C17" t="str">
            <v>Population, total</v>
          </cell>
          <cell r="D17" t="str">
            <v>SP.POP.TOTL</v>
          </cell>
          <cell r="E17">
            <v>11274196</v>
          </cell>
          <cell r="F17">
            <v>11331422</v>
          </cell>
          <cell r="G17">
            <v>11372068</v>
          </cell>
        </row>
        <row r="18">
          <cell r="A18" t="str">
            <v>Benin</v>
          </cell>
          <cell r="B18" t="str">
            <v>BEN</v>
          </cell>
          <cell r="C18" t="str">
            <v>Population, total</v>
          </cell>
          <cell r="D18" t="str">
            <v>SP.POP.TOTL</v>
          </cell>
          <cell r="E18">
            <v>10575952</v>
          </cell>
          <cell r="F18">
            <v>10872298</v>
          </cell>
          <cell r="G18">
            <v>11175692</v>
          </cell>
        </row>
        <row r="19">
          <cell r="A19" t="str">
            <v>Burkina Faso</v>
          </cell>
          <cell r="B19" t="str">
            <v>BFA</v>
          </cell>
          <cell r="C19" t="str">
            <v>Population, total</v>
          </cell>
          <cell r="D19" t="str">
            <v>SP.POP.TOTL</v>
          </cell>
          <cell r="E19">
            <v>18110624</v>
          </cell>
          <cell r="F19">
            <v>18646433</v>
          </cell>
          <cell r="G19">
            <v>19193382</v>
          </cell>
        </row>
        <row r="20">
          <cell r="A20" t="str">
            <v>Bangladesh</v>
          </cell>
          <cell r="B20" t="str">
            <v>BGD</v>
          </cell>
          <cell r="C20" t="str">
            <v>Population, total</v>
          </cell>
          <cell r="D20" t="str">
            <v>SP.POP.TOTL</v>
          </cell>
          <cell r="E20">
            <v>161200886</v>
          </cell>
          <cell r="F20">
            <v>162951560</v>
          </cell>
          <cell r="G20">
            <v>164669751</v>
          </cell>
        </row>
        <row r="21">
          <cell r="A21" t="str">
            <v>Bulgaria</v>
          </cell>
          <cell r="B21" t="str">
            <v>BGR</v>
          </cell>
          <cell r="C21" t="str">
            <v>Population, total</v>
          </cell>
          <cell r="D21" t="str">
            <v>SP.POP.TOTL</v>
          </cell>
          <cell r="E21">
            <v>7177991</v>
          </cell>
          <cell r="F21">
            <v>7127822</v>
          </cell>
          <cell r="G21">
            <v>7075991</v>
          </cell>
        </row>
        <row r="22">
          <cell r="A22" t="str">
            <v>Bahrain</v>
          </cell>
          <cell r="B22" t="str">
            <v>BHR</v>
          </cell>
          <cell r="C22" t="str">
            <v>Population, total</v>
          </cell>
          <cell r="D22" t="str">
            <v>SP.POP.TOTL</v>
          </cell>
          <cell r="E22">
            <v>1371855</v>
          </cell>
          <cell r="F22">
            <v>1425171</v>
          </cell>
          <cell r="G22">
            <v>1492584</v>
          </cell>
        </row>
        <row r="23">
          <cell r="A23" t="str">
            <v>Bahamas, The</v>
          </cell>
          <cell r="B23" t="str">
            <v>BHS</v>
          </cell>
          <cell r="C23" t="str">
            <v>Population, total</v>
          </cell>
          <cell r="D23" t="str">
            <v>SP.POP.TOTL</v>
          </cell>
          <cell r="E23">
            <v>386838</v>
          </cell>
          <cell r="F23">
            <v>391232</v>
          </cell>
          <cell r="G23">
            <v>395361</v>
          </cell>
        </row>
        <row r="24">
          <cell r="A24" t="str">
            <v>Bosnia and Herzegovina</v>
          </cell>
          <cell r="B24" t="str">
            <v>BIH</v>
          </cell>
          <cell r="C24" t="str">
            <v>Population, total</v>
          </cell>
          <cell r="D24" t="str">
            <v>SP.POP.TOTL</v>
          </cell>
          <cell r="E24">
            <v>3535961</v>
          </cell>
          <cell r="F24">
            <v>3516816</v>
          </cell>
          <cell r="G24">
            <v>3507017</v>
          </cell>
        </row>
        <row r="25">
          <cell r="A25" t="str">
            <v>Belarus</v>
          </cell>
          <cell r="B25" t="str">
            <v>BLR</v>
          </cell>
          <cell r="C25" t="str">
            <v>Population, total</v>
          </cell>
          <cell r="D25" t="str">
            <v>SP.POP.TOTL</v>
          </cell>
          <cell r="E25">
            <v>9489616</v>
          </cell>
          <cell r="F25">
            <v>9501534</v>
          </cell>
          <cell r="G25">
            <v>9507875</v>
          </cell>
        </row>
        <row r="26">
          <cell r="A26" t="str">
            <v>Belize</v>
          </cell>
          <cell r="B26" t="str">
            <v>BLZ</v>
          </cell>
          <cell r="C26" t="str">
            <v>Population, total</v>
          </cell>
          <cell r="D26" t="str">
            <v>SP.POP.TOTL</v>
          </cell>
          <cell r="E26">
            <v>359288</v>
          </cell>
          <cell r="F26">
            <v>366954</v>
          </cell>
          <cell r="G26">
            <v>374681</v>
          </cell>
        </row>
        <row r="27">
          <cell r="A27" t="str">
            <v>Bermuda</v>
          </cell>
          <cell r="B27" t="str">
            <v>BMU</v>
          </cell>
          <cell r="C27" t="str">
            <v>Population, total</v>
          </cell>
          <cell r="D27" t="str">
            <v>SP.POP.TOTL</v>
          </cell>
          <cell r="E27">
            <v>65239</v>
          </cell>
          <cell r="F27">
            <v>65341</v>
          </cell>
          <cell r="G27">
            <v>65441</v>
          </cell>
        </row>
        <row r="28">
          <cell r="A28" t="str">
            <v>Bolivia</v>
          </cell>
          <cell r="B28" t="str">
            <v>BOL</v>
          </cell>
          <cell r="C28" t="str">
            <v>Population, total</v>
          </cell>
          <cell r="D28" t="str">
            <v>SP.POP.TOTL</v>
          </cell>
          <cell r="E28">
            <v>10724705</v>
          </cell>
          <cell r="F28">
            <v>10887882</v>
          </cell>
          <cell r="G28">
            <v>11051600</v>
          </cell>
        </row>
        <row r="29">
          <cell r="A29" t="str">
            <v>Brazil</v>
          </cell>
          <cell r="B29" t="str">
            <v>BRA</v>
          </cell>
          <cell r="C29" t="str">
            <v>Population, total</v>
          </cell>
          <cell r="D29" t="str">
            <v>SP.POP.TOTL</v>
          </cell>
          <cell r="E29">
            <v>205962108</v>
          </cell>
          <cell r="F29">
            <v>207652865</v>
          </cell>
          <cell r="G29">
            <v>209288278</v>
          </cell>
        </row>
        <row r="30">
          <cell r="A30" t="str">
            <v>Barbados</v>
          </cell>
          <cell r="B30" t="str">
            <v>BRB</v>
          </cell>
          <cell r="C30" t="str">
            <v>Population, total</v>
          </cell>
          <cell r="D30" t="str">
            <v>SP.POP.TOTL</v>
          </cell>
          <cell r="E30">
            <v>284217</v>
          </cell>
          <cell r="F30">
            <v>284996</v>
          </cell>
          <cell r="G30">
            <v>285719</v>
          </cell>
        </row>
        <row r="31">
          <cell r="A31" t="str">
            <v>Brunei Darussalam</v>
          </cell>
          <cell r="B31" t="str">
            <v>BRN</v>
          </cell>
          <cell r="C31" t="str">
            <v>Population, total</v>
          </cell>
          <cell r="D31" t="str">
            <v>SP.POP.TOTL</v>
          </cell>
          <cell r="E31">
            <v>417542</v>
          </cell>
          <cell r="F31">
            <v>423196</v>
          </cell>
          <cell r="G31">
            <v>428697</v>
          </cell>
        </row>
        <row r="32">
          <cell r="A32" t="str">
            <v>Bhutan</v>
          </cell>
          <cell r="B32" t="str">
            <v>BTN</v>
          </cell>
          <cell r="C32" t="str">
            <v>Population, total</v>
          </cell>
          <cell r="D32" t="str">
            <v>SP.POP.TOTL</v>
          </cell>
          <cell r="E32">
            <v>787386</v>
          </cell>
          <cell r="F32">
            <v>797765</v>
          </cell>
          <cell r="G32">
            <v>807610</v>
          </cell>
        </row>
        <row r="33">
          <cell r="A33" t="str">
            <v>Botswana</v>
          </cell>
          <cell r="B33" t="str">
            <v>BWA</v>
          </cell>
          <cell r="C33" t="str">
            <v>Population, total</v>
          </cell>
          <cell r="D33" t="str">
            <v>SP.POP.TOTL</v>
          </cell>
          <cell r="E33">
            <v>2209197</v>
          </cell>
          <cell r="F33">
            <v>2250260</v>
          </cell>
          <cell r="G33">
            <v>2291661</v>
          </cell>
        </row>
        <row r="34">
          <cell r="A34" t="str">
            <v>Central African Republic</v>
          </cell>
          <cell r="B34" t="str">
            <v>CAF</v>
          </cell>
          <cell r="C34" t="str">
            <v>Population, total</v>
          </cell>
          <cell r="D34" t="str">
            <v>SP.POP.TOTL</v>
          </cell>
          <cell r="E34">
            <v>4546100</v>
          </cell>
          <cell r="F34">
            <v>4594621</v>
          </cell>
          <cell r="G34">
            <v>4659080</v>
          </cell>
        </row>
        <row r="35">
          <cell r="A35" t="str">
            <v>Canada</v>
          </cell>
          <cell r="B35" t="str">
            <v>CAN</v>
          </cell>
          <cell r="C35" t="str">
            <v>Population, total</v>
          </cell>
          <cell r="D35" t="str">
            <v>SP.POP.TOTL</v>
          </cell>
          <cell r="E35">
            <v>35832513</v>
          </cell>
          <cell r="F35">
            <v>36264604</v>
          </cell>
          <cell r="G35">
            <v>36708083</v>
          </cell>
        </row>
        <row r="36">
          <cell r="A36" t="str">
            <v>Central Europe and the Baltics</v>
          </cell>
          <cell r="B36" t="str">
            <v>CEB</v>
          </cell>
          <cell r="C36" t="str">
            <v>Population, total</v>
          </cell>
          <cell r="D36" t="str">
            <v>SP.POP.TOTL</v>
          </cell>
          <cell r="E36">
            <v>103257751</v>
          </cell>
          <cell r="F36">
            <v>102994343</v>
          </cell>
          <cell r="G36">
            <v>102727102</v>
          </cell>
        </row>
        <row r="37">
          <cell r="A37" t="str">
            <v>Switzerland</v>
          </cell>
          <cell r="B37" t="str">
            <v>CHE</v>
          </cell>
          <cell r="C37" t="str">
            <v>Population, total</v>
          </cell>
          <cell r="D37" t="str">
            <v>SP.POP.TOTL</v>
          </cell>
          <cell r="E37">
            <v>8282396</v>
          </cell>
          <cell r="F37">
            <v>8373338</v>
          </cell>
          <cell r="G37">
            <v>8466017</v>
          </cell>
        </row>
        <row r="38">
          <cell r="A38" t="str">
            <v>Channel Islands</v>
          </cell>
          <cell r="B38" t="str">
            <v>CHI</v>
          </cell>
          <cell r="C38" t="str">
            <v>Population, total</v>
          </cell>
          <cell r="D38" t="str">
            <v>SP.POP.TOTL</v>
          </cell>
          <cell r="E38">
            <v>163758</v>
          </cell>
          <cell r="F38">
            <v>164541</v>
          </cell>
          <cell r="G38">
            <v>165314</v>
          </cell>
        </row>
        <row r="39">
          <cell r="A39" t="str">
            <v>Chile</v>
          </cell>
          <cell r="B39" t="str">
            <v>CHL</v>
          </cell>
          <cell r="C39" t="str">
            <v>Population, total</v>
          </cell>
          <cell r="D39" t="str">
            <v>SP.POP.TOTL</v>
          </cell>
          <cell r="E39">
            <v>17762681</v>
          </cell>
          <cell r="F39">
            <v>17909754</v>
          </cell>
          <cell r="G39">
            <v>18054726</v>
          </cell>
        </row>
        <row r="40">
          <cell r="A40" t="str">
            <v>China</v>
          </cell>
          <cell r="B40" t="str">
            <v>CHN</v>
          </cell>
          <cell r="C40" t="str">
            <v>Population, total</v>
          </cell>
          <cell r="D40" t="str">
            <v>SP.POP.TOTL</v>
          </cell>
          <cell r="E40">
            <v>1371220000</v>
          </cell>
          <cell r="F40">
            <v>1378665000</v>
          </cell>
          <cell r="G40">
            <v>1386395000</v>
          </cell>
        </row>
        <row r="41">
          <cell r="A41" t="str">
            <v>Cote d'Ivoire</v>
          </cell>
          <cell r="B41" t="str">
            <v>CIV</v>
          </cell>
          <cell r="C41" t="str">
            <v>Population, total</v>
          </cell>
          <cell r="D41" t="str">
            <v>SP.POP.TOTL</v>
          </cell>
          <cell r="E41">
            <v>23108472</v>
          </cell>
          <cell r="F41">
            <v>23695919</v>
          </cell>
          <cell r="G41">
            <v>24294750</v>
          </cell>
        </row>
        <row r="42">
          <cell r="A42" t="str">
            <v>Cameroon</v>
          </cell>
          <cell r="B42" t="str">
            <v>CMR</v>
          </cell>
          <cell r="C42" t="str">
            <v>Population, total</v>
          </cell>
          <cell r="D42" t="str">
            <v>SP.POP.TOTL</v>
          </cell>
          <cell r="E42">
            <v>22834522</v>
          </cell>
          <cell r="F42">
            <v>23439189</v>
          </cell>
          <cell r="G42">
            <v>24053727</v>
          </cell>
        </row>
        <row r="43">
          <cell r="A43" t="str">
            <v>Congo, Dem. Rep.</v>
          </cell>
          <cell r="B43" t="str">
            <v>COD</v>
          </cell>
          <cell r="C43" t="str">
            <v>Population, total</v>
          </cell>
          <cell r="D43" t="str">
            <v>SP.POP.TOTL</v>
          </cell>
          <cell r="E43">
            <v>76196619</v>
          </cell>
          <cell r="F43">
            <v>78736153</v>
          </cell>
          <cell r="G43">
            <v>81339988</v>
          </cell>
        </row>
        <row r="44">
          <cell r="A44" t="str">
            <v>Congo, Rep.</v>
          </cell>
          <cell r="B44" t="str">
            <v>COG</v>
          </cell>
          <cell r="C44" t="str">
            <v>Population, total</v>
          </cell>
          <cell r="D44" t="str">
            <v>SP.POP.TOTL</v>
          </cell>
          <cell r="E44">
            <v>4995648</v>
          </cell>
          <cell r="F44">
            <v>5125821</v>
          </cell>
          <cell r="G44">
            <v>5260750</v>
          </cell>
        </row>
        <row r="45">
          <cell r="A45" t="str">
            <v>Colombia</v>
          </cell>
          <cell r="B45" t="str">
            <v>COL</v>
          </cell>
          <cell r="C45" t="str">
            <v>Population, total</v>
          </cell>
          <cell r="D45" t="str">
            <v>SP.POP.TOTL</v>
          </cell>
          <cell r="E45">
            <v>48228697</v>
          </cell>
          <cell r="F45">
            <v>48653419</v>
          </cell>
          <cell r="G45">
            <v>49065615</v>
          </cell>
        </row>
        <row r="46">
          <cell r="A46" t="str">
            <v>Comoros</v>
          </cell>
          <cell r="B46" t="str">
            <v>COM</v>
          </cell>
          <cell r="C46" t="str">
            <v>Population, total</v>
          </cell>
          <cell r="D46" t="str">
            <v>SP.POP.TOTL</v>
          </cell>
          <cell r="E46">
            <v>777424</v>
          </cell>
          <cell r="F46">
            <v>795601</v>
          </cell>
          <cell r="G46">
            <v>813912</v>
          </cell>
        </row>
        <row r="47">
          <cell r="A47" t="str">
            <v>Cabo Verde</v>
          </cell>
          <cell r="B47" t="str">
            <v>CPV</v>
          </cell>
          <cell r="C47" t="str">
            <v>Population, total</v>
          </cell>
          <cell r="D47" t="str">
            <v>SP.POP.TOTL</v>
          </cell>
          <cell r="E47">
            <v>532913</v>
          </cell>
          <cell r="F47">
            <v>539560</v>
          </cell>
          <cell r="G47">
            <v>546388</v>
          </cell>
        </row>
        <row r="48">
          <cell r="A48" t="str">
            <v>Costa Rica</v>
          </cell>
          <cell r="B48" t="str">
            <v>CRI</v>
          </cell>
          <cell r="C48" t="str">
            <v>Population, total</v>
          </cell>
          <cell r="D48" t="str">
            <v>SP.POP.TOTL</v>
          </cell>
          <cell r="E48">
            <v>4807852</v>
          </cell>
          <cell r="F48">
            <v>4857274</v>
          </cell>
          <cell r="G48">
            <v>4905769</v>
          </cell>
        </row>
        <row r="49">
          <cell r="A49" t="str">
            <v>Caribbean small states</v>
          </cell>
          <cell r="B49" t="str">
            <v>CSS</v>
          </cell>
          <cell r="C49" t="str">
            <v>Population, total</v>
          </cell>
          <cell r="D49" t="str">
            <v>SP.POP.TOTL</v>
          </cell>
          <cell r="E49">
            <v>7204948</v>
          </cell>
          <cell r="F49">
            <v>7245472</v>
          </cell>
          <cell r="G49">
            <v>7284294</v>
          </cell>
        </row>
        <row r="50">
          <cell r="A50" t="str">
            <v>Cuba</v>
          </cell>
          <cell r="B50" t="str">
            <v>CUB</v>
          </cell>
          <cell r="C50" t="str">
            <v>Population, total</v>
          </cell>
          <cell r="D50" t="str">
            <v>SP.POP.TOTL</v>
          </cell>
          <cell r="E50">
            <v>11461432</v>
          </cell>
          <cell r="F50">
            <v>11475982</v>
          </cell>
          <cell r="G50">
            <v>11484636</v>
          </cell>
        </row>
        <row r="51">
          <cell r="A51" t="str">
            <v>Curacao</v>
          </cell>
          <cell r="B51" t="str">
            <v>CUW</v>
          </cell>
          <cell r="C51" t="str">
            <v>Population, total</v>
          </cell>
          <cell r="D51" t="str">
            <v>SP.POP.TOTL</v>
          </cell>
          <cell r="E51">
            <v>157980</v>
          </cell>
          <cell r="F51">
            <v>159663</v>
          </cell>
          <cell r="G51">
            <v>161014</v>
          </cell>
        </row>
        <row r="52">
          <cell r="A52" t="str">
            <v>Cayman Islands</v>
          </cell>
          <cell r="B52" t="str">
            <v>CYM</v>
          </cell>
          <cell r="C52" t="str">
            <v>Population, total</v>
          </cell>
          <cell r="D52" t="str">
            <v>SP.POP.TOTL</v>
          </cell>
          <cell r="E52">
            <v>59963</v>
          </cell>
          <cell r="F52">
            <v>60765</v>
          </cell>
          <cell r="G52">
            <v>61559</v>
          </cell>
        </row>
        <row r="53">
          <cell r="A53" t="str">
            <v>Cyprus</v>
          </cell>
          <cell r="B53" t="str">
            <v>CYP</v>
          </cell>
          <cell r="C53" t="str">
            <v>Population, total</v>
          </cell>
          <cell r="D53" t="str">
            <v>SP.POP.TOTL</v>
          </cell>
          <cell r="E53">
            <v>1160985</v>
          </cell>
          <cell r="F53">
            <v>1170125</v>
          </cell>
          <cell r="G53">
            <v>1179551</v>
          </cell>
        </row>
        <row r="54">
          <cell r="A54" t="str">
            <v>Czech Republic</v>
          </cell>
          <cell r="B54" t="str">
            <v>CZE</v>
          </cell>
          <cell r="C54" t="str">
            <v>Population, total</v>
          </cell>
          <cell r="D54" t="str">
            <v>SP.POP.TOTL</v>
          </cell>
          <cell r="E54">
            <v>10546059</v>
          </cell>
          <cell r="F54">
            <v>10566332</v>
          </cell>
          <cell r="G54">
            <v>10591323</v>
          </cell>
        </row>
        <row r="55">
          <cell r="A55" t="str">
            <v>Germany</v>
          </cell>
          <cell r="B55" t="str">
            <v>DEU</v>
          </cell>
          <cell r="C55" t="str">
            <v>Population, total</v>
          </cell>
          <cell r="D55" t="str">
            <v>SP.POP.TOTL</v>
          </cell>
          <cell r="E55">
            <v>81686611</v>
          </cell>
          <cell r="F55">
            <v>82348669</v>
          </cell>
          <cell r="G55">
            <v>82695000</v>
          </cell>
        </row>
        <row r="56">
          <cell r="A56" t="str">
            <v>Djibouti</v>
          </cell>
          <cell r="B56" t="str">
            <v>DJI</v>
          </cell>
          <cell r="C56" t="str">
            <v>Population, total</v>
          </cell>
          <cell r="D56" t="str">
            <v>SP.POP.TOTL</v>
          </cell>
          <cell r="E56">
            <v>927414</v>
          </cell>
          <cell r="F56">
            <v>942333</v>
          </cell>
          <cell r="G56">
            <v>956985</v>
          </cell>
        </row>
        <row r="57">
          <cell r="A57" t="str">
            <v>Dominica</v>
          </cell>
          <cell r="B57" t="str">
            <v>DMA</v>
          </cell>
          <cell r="C57" t="str">
            <v>Population, total</v>
          </cell>
          <cell r="D57" t="str">
            <v>SP.POP.TOTL</v>
          </cell>
          <cell r="E57">
            <v>73162</v>
          </cell>
          <cell r="F57">
            <v>73543</v>
          </cell>
          <cell r="G57">
            <v>73925</v>
          </cell>
        </row>
        <row r="58">
          <cell r="A58" t="str">
            <v>Denmark</v>
          </cell>
          <cell r="B58" t="str">
            <v>DNK</v>
          </cell>
          <cell r="C58" t="str">
            <v>Population, total</v>
          </cell>
          <cell r="D58" t="str">
            <v>SP.POP.TOTL</v>
          </cell>
          <cell r="E58">
            <v>5683483</v>
          </cell>
          <cell r="F58">
            <v>5728010</v>
          </cell>
          <cell r="G58">
            <v>5769603</v>
          </cell>
        </row>
        <row r="59">
          <cell r="A59" t="str">
            <v>Dominican Republic</v>
          </cell>
          <cell r="B59" t="str">
            <v>DOM</v>
          </cell>
          <cell r="C59" t="str">
            <v>Population, total</v>
          </cell>
          <cell r="D59" t="str">
            <v>SP.POP.TOTL</v>
          </cell>
          <cell r="E59">
            <v>10528394</v>
          </cell>
          <cell r="F59">
            <v>10648791</v>
          </cell>
          <cell r="G59">
            <v>10766998</v>
          </cell>
        </row>
        <row r="60">
          <cell r="A60" t="str">
            <v>Algeria</v>
          </cell>
          <cell r="B60" t="str">
            <v>DZA</v>
          </cell>
          <cell r="C60" t="str">
            <v>Population, total</v>
          </cell>
          <cell r="D60" t="str">
            <v>SP.POP.TOTL</v>
          </cell>
          <cell r="E60">
            <v>39871528</v>
          </cell>
          <cell r="F60">
            <v>40606052</v>
          </cell>
          <cell r="G60">
            <v>41318142</v>
          </cell>
        </row>
        <row r="61">
          <cell r="A61" t="str">
            <v>East Asia &amp; Pacific (excluding high income)</v>
          </cell>
          <cell r="B61" t="str">
            <v>EAP</v>
          </cell>
          <cell r="C61" t="str">
            <v>Population, total</v>
          </cell>
          <cell r="D61" t="str">
            <v>SP.POP.TOTL</v>
          </cell>
          <cell r="E61">
            <v>2038410865</v>
          </cell>
          <cell r="F61">
            <v>2053299126</v>
          </cell>
          <cell r="G61">
            <v>2068308373</v>
          </cell>
        </row>
        <row r="62">
          <cell r="A62" t="str">
            <v>Early-demographic dividend</v>
          </cell>
          <cell r="B62" t="str">
            <v>EAR</v>
          </cell>
          <cell r="C62" t="str">
            <v>Population, total</v>
          </cell>
          <cell r="D62" t="str">
            <v>SP.POP.TOTL</v>
          </cell>
          <cell r="E62">
            <v>3127578757</v>
          </cell>
          <cell r="F62">
            <v>3170657660</v>
          </cell>
          <cell r="G62">
            <v>3213426923</v>
          </cell>
        </row>
        <row r="63">
          <cell r="A63" t="str">
            <v>East Asia &amp; Pacific</v>
          </cell>
          <cell r="B63" t="str">
            <v>EAS</v>
          </cell>
          <cell r="C63" t="str">
            <v>Population, total</v>
          </cell>
          <cell r="D63" t="str">
            <v>SP.POP.TOTL</v>
          </cell>
          <cell r="E63">
            <v>2283108073</v>
          </cell>
          <cell r="F63">
            <v>2298726779</v>
          </cell>
          <cell r="G63">
            <v>2314364990</v>
          </cell>
        </row>
        <row r="64">
          <cell r="A64" t="str">
            <v>Europe &amp; Central Asia (excluding high income)</v>
          </cell>
          <cell r="B64" t="str">
            <v>ECA</v>
          </cell>
          <cell r="C64" t="str">
            <v>Population, total</v>
          </cell>
          <cell r="D64" t="str">
            <v>SP.POP.TOTL</v>
          </cell>
          <cell r="E64">
            <v>410770813</v>
          </cell>
          <cell r="F64">
            <v>413234935</v>
          </cell>
          <cell r="G64">
            <v>415546194</v>
          </cell>
        </row>
        <row r="65">
          <cell r="A65" t="str">
            <v>Europe &amp; Central Asia</v>
          </cell>
          <cell r="B65" t="str">
            <v>ECS</v>
          </cell>
          <cell r="C65" t="str">
            <v>Population, total</v>
          </cell>
          <cell r="D65" t="str">
            <v>SP.POP.TOTL</v>
          </cell>
          <cell r="E65">
            <v>907426233</v>
          </cell>
          <cell r="F65">
            <v>911686319</v>
          </cell>
          <cell r="G65">
            <v>915545801</v>
          </cell>
        </row>
        <row r="66">
          <cell r="A66" t="str">
            <v>Ecuador</v>
          </cell>
          <cell r="B66" t="str">
            <v>ECU</v>
          </cell>
          <cell r="C66" t="str">
            <v>Population, total</v>
          </cell>
          <cell r="D66" t="str">
            <v>SP.POP.TOTL</v>
          </cell>
          <cell r="E66">
            <v>16144368</v>
          </cell>
          <cell r="F66">
            <v>16385068</v>
          </cell>
          <cell r="G66">
            <v>16624858</v>
          </cell>
        </row>
        <row r="67">
          <cell r="A67" t="str">
            <v>Egypt, Arab Rep.</v>
          </cell>
          <cell r="B67" t="str">
            <v>EGY</v>
          </cell>
          <cell r="C67" t="str">
            <v>Population, total</v>
          </cell>
          <cell r="D67" t="str">
            <v>SP.POP.TOTL</v>
          </cell>
          <cell r="E67">
            <v>93778172</v>
          </cell>
          <cell r="F67">
            <v>95688681</v>
          </cell>
          <cell r="G67">
            <v>97553151</v>
          </cell>
        </row>
        <row r="68">
          <cell r="A68" t="str">
            <v>Euro area</v>
          </cell>
          <cell r="B68" t="str">
            <v>EMU</v>
          </cell>
          <cell r="C68" t="str">
            <v>Population, total</v>
          </cell>
          <cell r="D68" t="str">
            <v>SP.POP.TOTL</v>
          </cell>
          <cell r="E68">
            <v>339533474</v>
          </cell>
          <cell r="F68">
            <v>340617355</v>
          </cell>
          <cell r="G68">
            <v>341465149</v>
          </cell>
        </row>
        <row r="69">
          <cell r="A69" t="str">
            <v>Eritrea</v>
          </cell>
          <cell r="B69" t="str">
            <v>ERI</v>
          </cell>
          <cell r="C69" t="str">
            <v>Population, total</v>
          </cell>
          <cell r="D69" t="str">
            <v>SP.POP.TOTL</v>
          </cell>
        </row>
        <row r="70">
          <cell r="A70" t="str">
            <v>Spain</v>
          </cell>
          <cell r="B70" t="str">
            <v>ESP</v>
          </cell>
          <cell r="C70" t="str">
            <v>Population, total</v>
          </cell>
          <cell r="D70" t="str">
            <v>SP.POP.TOTL</v>
          </cell>
          <cell r="E70">
            <v>46444832</v>
          </cell>
          <cell r="F70">
            <v>46484062</v>
          </cell>
          <cell r="G70">
            <v>46572028</v>
          </cell>
        </row>
        <row r="71">
          <cell r="A71" t="str">
            <v>Estonia</v>
          </cell>
          <cell r="B71" t="str">
            <v>EST</v>
          </cell>
          <cell r="C71" t="str">
            <v>Population, total</v>
          </cell>
          <cell r="D71" t="str">
            <v>SP.POP.TOTL</v>
          </cell>
          <cell r="E71">
            <v>1315407</v>
          </cell>
          <cell r="F71">
            <v>1315790</v>
          </cell>
          <cell r="G71">
            <v>1315480</v>
          </cell>
        </row>
        <row r="72">
          <cell r="A72" t="str">
            <v>Ethiopia</v>
          </cell>
          <cell r="B72" t="str">
            <v>ETH</v>
          </cell>
          <cell r="C72" t="str">
            <v>Population, total</v>
          </cell>
          <cell r="D72" t="str">
            <v>SP.POP.TOTL</v>
          </cell>
          <cell r="E72">
            <v>99873033</v>
          </cell>
          <cell r="F72">
            <v>102403196</v>
          </cell>
          <cell r="G72">
            <v>104957438</v>
          </cell>
        </row>
        <row r="73">
          <cell r="A73" t="str">
            <v>European Union</v>
          </cell>
          <cell r="B73" t="str">
            <v>EUU</v>
          </cell>
          <cell r="C73" t="str">
            <v>Population, total</v>
          </cell>
          <cell r="D73" t="str">
            <v>SP.POP.TOTL</v>
          </cell>
          <cell r="E73">
            <v>509717579</v>
          </cell>
          <cell r="F73">
            <v>511218960</v>
          </cell>
          <cell r="G73">
            <v>512461290</v>
          </cell>
        </row>
        <row r="74">
          <cell r="A74" t="str">
            <v>Fragile and conflict affected situations</v>
          </cell>
          <cell r="B74" t="str">
            <v>FCS</v>
          </cell>
          <cell r="C74" t="str">
            <v>Population, total</v>
          </cell>
          <cell r="D74" t="str">
            <v>SP.POP.TOTL</v>
          </cell>
          <cell r="E74">
            <v>487923553</v>
          </cell>
          <cell r="F74">
            <v>499508468</v>
          </cell>
          <cell r="G74">
            <v>511336623</v>
          </cell>
        </row>
        <row r="75">
          <cell r="A75" t="str">
            <v>Finland</v>
          </cell>
          <cell r="B75" t="str">
            <v>FIN</v>
          </cell>
          <cell r="C75" t="str">
            <v>Population, total</v>
          </cell>
          <cell r="D75" t="str">
            <v>SP.POP.TOTL</v>
          </cell>
          <cell r="E75">
            <v>5479531</v>
          </cell>
          <cell r="F75">
            <v>5495303</v>
          </cell>
          <cell r="G75">
            <v>5511303</v>
          </cell>
        </row>
        <row r="76">
          <cell r="A76" t="str">
            <v>Fiji</v>
          </cell>
          <cell r="B76" t="str">
            <v>FJI</v>
          </cell>
          <cell r="C76" t="str">
            <v>Population, total</v>
          </cell>
          <cell r="D76" t="str">
            <v>SP.POP.TOTL</v>
          </cell>
          <cell r="E76">
            <v>892149</v>
          </cell>
          <cell r="F76">
            <v>898760</v>
          </cell>
          <cell r="G76">
            <v>905502</v>
          </cell>
        </row>
        <row r="77">
          <cell r="A77" t="str">
            <v>France</v>
          </cell>
          <cell r="B77" t="str">
            <v>FRA</v>
          </cell>
          <cell r="C77" t="str">
            <v>Population, total</v>
          </cell>
          <cell r="D77" t="str">
            <v>SP.POP.TOTL</v>
          </cell>
          <cell r="E77">
            <v>66593366</v>
          </cell>
          <cell r="F77">
            <v>66859768</v>
          </cell>
          <cell r="G77">
            <v>67118648</v>
          </cell>
        </row>
        <row r="78">
          <cell r="A78" t="str">
            <v>Faroe Islands</v>
          </cell>
          <cell r="B78" t="str">
            <v>FRO</v>
          </cell>
          <cell r="C78" t="str">
            <v>Population, total</v>
          </cell>
          <cell r="D78" t="str">
            <v>SP.POP.TOTL</v>
          </cell>
          <cell r="E78">
            <v>48965</v>
          </cell>
          <cell r="F78">
            <v>49117</v>
          </cell>
          <cell r="G78">
            <v>49290</v>
          </cell>
        </row>
        <row r="79">
          <cell r="A79" t="str">
            <v>Micronesia, Fed. Sts.</v>
          </cell>
          <cell r="B79" t="str">
            <v>FSM</v>
          </cell>
          <cell r="C79" t="str">
            <v>Population, total</v>
          </cell>
          <cell r="D79" t="str">
            <v>SP.POP.TOTL</v>
          </cell>
          <cell r="E79">
            <v>104433</v>
          </cell>
          <cell r="F79">
            <v>104937</v>
          </cell>
          <cell r="G79">
            <v>105544</v>
          </cell>
        </row>
        <row r="80">
          <cell r="A80" t="str">
            <v>Gabon</v>
          </cell>
          <cell r="B80" t="str">
            <v>GAB</v>
          </cell>
          <cell r="C80" t="str">
            <v>Population, total</v>
          </cell>
          <cell r="D80" t="str">
            <v>SP.POP.TOTL</v>
          </cell>
          <cell r="E80">
            <v>1930175</v>
          </cell>
          <cell r="F80">
            <v>1979786</v>
          </cell>
          <cell r="G80">
            <v>2025137</v>
          </cell>
        </row>
        <row r="81">
          <cell r="A81" t="str">
            <v>United Kingdom</v>
          </cell>
          <cell r="B81" t="str">
            <v>GBR</v>
          </cell>
          <cell r="C81" t="str">
            <v>Population, total</v>
          </cell>
          <cell r="D81" t="str">
            <v>SP.POP.TOTL</v>
          </cell>
          <cell r="E81">
            <v>65128861</v>
          </cell>
          <cell r="F81">
            <v>65595565</v>
          </cell>
          <cell r="G81">
            <v>66022273</v>
          </cell>
        </row>
        <row r="82">
          <cell r="A82" t="str">
            <v>Georgia</v>
          </cell>
          <cell r="B82" t="str">
            <v>GEO</v>
          </cell>
          <cell r="C82" t="str">
            <v>Population, total</v>
          </cell>
          <cell r="D82" t="str">
            <v>SP.POP.TOTL</v>
          </cell>
          <cell r="E82">
            <v>3717100</v>
          </cell>
          <cell r="F82">
            <v>3719300</v>
          </cell>
          <cell r="G82">
            <v>3717100</v>
          </cell>
        </row>
        <row r="83">
          <cell r="A83" t="str">
            <v>Ghana</v>
          </cell>
          <cell r="B83" t="str">
            <v>GHA</v>
          </cell>
          <cell r="C83" t="str">
            <v>Population, total</v>
          </cell>
          <cell r="D83" t="str">
            <v>SP.POP.TOTL</v>
          </cell>
          <cell r="E83">
            <v>27582821</v>
          </cell>
          <cell r="F83">
            <v>28206728</v>
          </cell>
          <cell r="G83">
            <v>28833629</v>
          </cell>
        </row>
        <row r="84">
          <cell r="A84" t="str">
            <v>Gibraltar</v>
          </cell>
          <cell r="B84" t="str">
            <v>GIB</v>
          </cell>
          <cell r="C84" t="str">
            <v>Population, total</v>
          </cell>
          <cell r="D84" t="str">
            <v>SP.POP.TOTL</v>
          </cell>
          <cell r="E84">
            <v>34228</v>
          </cell>
          <cell r="F84">
            <v>34408</v>
          </cell>
          <cell r="G84">
            <v>34571</v>
          </cell>
        </row>
        <row r="85">
          <cell r="A85" t="str">
            <v>Guinea</v>
          </cell>
          <cell r="B85" t="str">
            <v>GIN</v>
          </cell>
          <cell r="C85" t="str">
            <v>Population, total</v>
          </cell>
          <cell r="D85" t="str">
            <v>SP.POP.TOTL</v>
          </cell>
          <cell r="E85">
            <v>12091533</v>
          </cell>
          <cell r="F85">
            <v>12395924</v>
          </cell>
          <cell r="G85">
            <v>12717176</v>
          </cell>
        </row>
        <row r="86">
          <cell r="A86" t="str">
            <v>Gambia, The</v>
          </cell>
          <cell r="B86" t="str">
            <v>GMB</v>
          </cell>
          <cell r="C86" t="str">
            <v>Population, total</v>
          </cell>
          <cell r="D86" t="str">
            <v>SP.POP.TOTL</v>
          </cell>
          <cell r="E86">
            <v>1977590</v>
          </cell>
          <cell r="F86">
            <v>2038501</v>
          </cell>
          <cell r="G86">
            <v>2100568</v>
          </cell>
        </row>
        <row r="87">
          <cell r="A87" t="str">
            <v>Guinea-Bissau</v>
          </cell>
          <cell r="B87" t="str">
            <v>GNB</v>
          </cell>
          <cell r="C87" t="str">
            <v>Population, total</v>
          </cell>
          <cell r="D87" t="str">
            <v>SP.POP.TOTL</v>
          </cell>
          <cell r="E87">
            <v>1770526</v>
          </cell>
          <cell r="F87">
            <v>1815698</v>
          </cell>
          <cell r="G87">
            <v>1861283</v>
          </cell>
        </row>
        <row r="88">
          <cell r="A88" t="str">
            <v>Equatorial Guinea</v>
          </cell>
          <cell r="B88" t="str">
            <v>GNQ</v>
          </cell>
          <cell r="C88" t="str">
            <v>Population, total</v>
          </cell>
          <cell r="D88" t="str">
            <v>SP.POP.TOTL</v>
          </cell>
          <cell r="E88">
            <v>1175389</v>
          </cell>
          <cell r="F88">
            <v>1221490</v>
          </cell>
          <cell r="G88">
            <v>1267689</v>
          </cell>
        </row>
        <row r="89">
          <cell r="A89" t="str">
            <v>Greece</v>
          </cell>
          <cell r="B89" t="str">
            <v>GRC</v>
          </cell>
          <cell r="C89" t="str">
            <v>Population, total</v>
          </cell>
          <cell r="D89" t="str">
            <v>SP.POP.TOTL</v>
          </cell>
          <cell r="E89">
            <v>10820883</v>
          </cell>
          <cell r="F89">
            <v>10775971</v>
          </cell>
          <cell r="G89">
            <v>10760421</v>
          </cell>
        </row>
        <row r="90">
          <cell r="A90" t="str">
            <v>Grenada</v>
          </cell>
          <cell r="B90" t="str">
            <v>GRD</v>
          </cell>
          <cell r="C90" t="str">
            <v>Population, total</v>
          </cell>
          <cell r="D90" t="str">
            <v>SP.POP.TOTL</v>
          </cell>
          <cell r="E90">
            <v>106823</v>
          </cell>
          <cell r="F90">
            <v>107317</v>
          </cell>
          <cell r="G90">
            <v>107825</v>
          </cell>
        </row>
        <row r="91">
          <cell r="A91" t="str">
            <v>Greenland</v>
          </cell>
          <cell r="B91" t="str">
            <v>GRL</v>
          </cell>
          <cell r="C91" t="str">
            <v>Population, total</v>
          </cell>
          <cell r="D91" t="str">
            <v>SP.POP.TOTL</v>
          </cell>
          <cell r="E91">
            <v>56114</v>
          </cell>
          <cell r="F91">
            <v>56186</v>
          </cell>
          <cell r="G91">
            <v>56171</v>
          </cell>
        </row>
        <row r="92">
          <cell r="A92" t="str">
            <v>Guatemala</v>
          </cell>
          <cell r="B92" t="str">
            <v>GTM</v>
          </cell>
          <cell r="C92" t="str">
            <v>Population, total</v>
          </cell>
          <cell r="D92" t="str">
            <v>SP.POP.TOTL</v>
          </cell>
          <cell r="E92">
            <v>16252429</v>
          </cell>
          <cell r="F92">
            <v>16582469</v>
          </cell>
          <cell r="G92">
            <v>16913503</v>
          </cell>
        </row>
        <row r="93">
          <cell r="A93" t="str">
            <v>Guam</v>
          </cell>
          <cell r="B93" t="str">
            <v>GUM</v>
          </cell>
          <cell r="C93" t="str">
            <v>Population, total</v>
          </cell>
          <cell r="D93" t="str">
            <v>SP.POP.TOTL</v>
          </cell>
          <cell r="E93">
            <v>161797</v>
          </cell>
          <cell r="F93">
            <v>162896</v>
          </cell>
          <cell r="G93">
            <v>164229</v>
          </cell>
        </row>
        <row r="94">
          <cell r="A94" t="str">
            <v>Guyana</v>
          </cell>
          <cell r="B94" t="str">
            <v>GUY</v>
          </cell>
          <cell r="C94" t="str">
            <v>Population, total</v>
          </cell>
          <cell r="D94" t="str">
            <v>SP.POP.TOTL</v>
          </cell>
          <cell r="E94">
            <v>768514</v>
          </cell>
          <cell r="F94">
            <v>773303</v>
          </cell>
          <cell r="G94">
            <v>777859</v>
          </cell>
        </row>
        <row r="95">
          <cell r="A95" t="str">
            <v>High income</v>
          </cell>
          <cell r="B95" t="str">
            <v>HIC</v>
          </cell>
          <cell r="C95" t="str">
            <v>Population, total</v>
          </cell>
          <cell r="D95" t="str">
            <v>SP.POP.TOTL</v>
          </cell>
          <cell r="E95">
            <v>1234714041</v>
          </cell>
          <cell r="F95">
            <v>1242137612</v>
          </cell>
          <cell r="G95">
            <v>1249066228</v>
          </cell>
        </row>
        <row r="96">
          <cell r="A96" t="str">
            <v>Hong Kong, China</v>
          </cell>
          <cell r="B96" t="str">
            <v>HKG</v>
          </cell>
          <cell r="C96" t="str">
            <v>Population, total</v>
          </cell>
          <cell r="D96" t="str">
            <v>SP.POP.TOTL</v>
          </cell>
          <cell r="E96">
            <v>7291300</v>
          </cell>
          <cell r="F96">
            <v>7336600</v>
          </cell>
          <cell r="G96">
            <v>7391700</v>
          </cell>
        </row>
        <row r="97">
          <cell r="A97" t="str">
            <v>Honduras</v>
          </cell>
          <cell r="B97" t="str">
            <v>HND</v>
          </cell>
          <cell r="C97" t="str">
            <v>Population, total</v>
          </cell>
          <cell r="D97" t="str">
            <v>SP.POP.TOTL</v>
          </cell>
          <cell r="E97">
            <v>8960829</v>
          </cell>
          <cell r="F97">
            <v>9112867</v>
          </cell>
          <cell r="G97">
            <v>9265067</v>
          </cell>
        </row>
        <row r="98">
          <cell r="A98" t="str">
            <v>Heavily indebted poor countries (HIPC)</v>
          </cell>
          <cell r="B98" t="str">
            <v>HPC</v>
          </cell>
          <cell r="C98" t="str">
            <v>Population, total</v>
          </cell>
          <cell r="D98" t="str">
            <v>SP.POP.TOTL</v>
          </cell>
          <cell r="E98">
            <v>724482652</v>
          </cell>
          <cell r="F98">
            <v>744602976</v>
          </cell>
          <cell r="G98">
            <v>765112280</v>
          </cell>
        </row>
        <row r="99">
          <cell r="A99" t="str">
            <v>Croatia</v>
          </cell>
          <cell r="B99" t="str">
            <v>HRV</v>
          </cell>
          <cell r="C99" t="str">
            <v>Population, total</v>
          </cell>
          <cell r="D99" t="str">
            <v>SP.POP.TOTL</v>
          </cell>
          <cell r="E99">
            <v>4203604</v>
          </cell>
          <cell r="F99">
            <v>4174349</v>
          </cell>
          <cell r="G99">
            <v>4125700</v>
          </cell>
        </row>
        <row r="100">
          <cell r="A100" t="str">
            <v>Haiti</v>
          </cell>
          <cell r="B100" t="str">
            <v>HTI</v>
          </cell>
          <cell r="C100" t="str">
            <v>Population, total</v>
          </cell>
          <cell r="D100" t="str">
            <v>SP.POP.TOTL</v>
          </cell>
          <cell r="E100">
            <v>10711061</v>
          </cell>
          <cell r="F100">
            <v>10847334</v>
          </cell>
          <cell r="G100">
            <v>10981229</v>
          </cell>
        </row>
        <row r="101">
          <cell r="A101" t="str">
            <v>Hungary</v>
          </cell>
          <cell r="B101" t="str">
            <v>HUN</v>
          </cell>
          <cell r="C101" t="str">
            <v>Population, total</v>
          </cell>
          <cell r="D101" t="str">
            <v>SP.POP.TOTL</v>
          </cell>
          <cell r="E101">
            <v>9843028</v>
          </cell>
          <cell r="F101">
            <v>9814023</v>
          </cell>
          <cell r="G101">
            <v>9781127</v>
          </cell>
        </row>
        <row r="102">
          <cell r="A102" t="str">
            <v>IBRD only</v>
          </cell>
          <cell r="B102" t="str">
            <v>IBD</v>
          </cell>
          <cell r="C102" t="str">
            <v>Population, total</v>
          </cell>
          <cell r="D102" t="str">
            <v>SP.POP.TOTL</v>
          </cell>
          <cell r="E102">
            <v>4654714482</v>
          </cell>
          <cell r="F102">
            <v>4699231955</v>
          </cell>
          <cell r="G102">
            <v>4743263932</v>
          </cell>
        </row>
        <row r="103">
          <cell r="A103" t="str">
            <v>IDA &amp; IBRD total</v>
          </cell>
          <cell r="B103" t="str">
            <v>IBT</v>
          </cell>
          <cell r="C103" t="str">
            <v>Population, total</v>
          </cell>
          <cell r="D103" t="str">
            <v>SP.POP.TOTL</v>
          </cell>
          <cell r="E103">
            <v>6194062653</v>
          </cell>
          <cell r="F103">
            <v>6273584648</v>
          </cell>
          <cell r="G103">
            <v>6353204601</v>
          </cell>
        </row>
        <row r="104">
          <cell r="A104" t="str">
            <v>IDA total</v>
          </cell>
          <cell r="B104" t="str">
            <v>IDA</v>
          </cell>
          <cell r="C104" t="str">
            <v>Population, total</v>
          </cell>
          <cell r="D104" t="str">
            <v>SP.POP.TOTL</v>
          </cell>
          <cell r="E104">
            <v>1539348171</v>
          </cell>
          <cell r="F104">
            <v>1574352693</v>
          </cell>
          <cell r="G104">
            <v>1609940669</v>
          </cell>
        </row>
        <row r="105">
          <cell r="A105" t="str">
            <v>IDA blend</v>
          </cell>
          <cell r="B105" t="str">
            <v>IDB</v>
          </cell>
          <cell r="C105" t="str">
            <v>Population, total</v>
          </cell>
          <cell r="D105" t="str">
            <v>SP.POP.TOTL</v>
          </cell>
          <cell r="E105">
            <v>509396383</v>
          </cell>
          <cell r="F105">
            <v>521159047</v>
          </cell>
          <cell r="G105">
            <v>533023458</v>
          </cell>
        </row>
        <row r="106">
          <cell r="A106" t="str">
            <v>Indonesia</v>
          </cell>
          <cell r="B106" t="str">
            <v>IDN</v>
          </cell>
          <cell r="C106" t="str">
            <v>Population, total</v>
          </cell>
          <cell r="D106" t="str">
            <v>SP.POP.TOTL</v>
          </cell>
          <cell r="E106">
            <v>258162113</v>
          </cell>
          <cell r="F106">
            <v>261115456</v>
          </cell>
          <cell r="G106">
            <v>263991379</v>
          </cell>
        </row>
        <row r="107">
          <cell r="A107" t="str">
            <v>IDA only</v>
          </cell>
          <cell r="B107" t="str">
            <v>IDX</v>
          </cell>
          <cell r="C107" t="str">
            <v>Population, total</v>
          </cell>
          <cell r="D107" t="str">
            <v>SP.POP.TOTL</v>
          </cell>
          <cell r="E107">
            <v>1029951788</v>
          </cell>
          <cell r="F107">
            <v>1053193646</v>
          </cell>
          <cell r="G107">
            <v>1076917211</v>
          </cell>
        </row>
        <row r="108">
          <cell r="A108" t="str">
            <v>Isle of Man</v>
          </cell>
          <cell r="B108" t="str">
            <v>IMN</v>
          </cell>
          <cell r="C108" t="str">
            <v>Population, total</v>
          </cell>
          <cell r="D108" t="str">
            <v>SP.POP.TOTL</v>
          </cell>
          <cell r="E108">
            <v>83167</v>
          </cell>
          <cell r="F108">
            <v>83737</v>
          </cell>
          <cell r="G108">
            <v>84287</v>
          </cell>
        </row>
        <row r="109">
          <cell r="A109" t="str">
            <v>India</v>
          </cell>
          <cell r="B109" t="str">
            <v>IND</v>
          </cell>
          <cell r="C109" t="str">
            <v>Population, total</v>
          </cell>
          <cell r="D109" t="str">
            <v>SP.POP.TOTL</v>
          </cell>
          <cell r="E109">
            <v>1309053980</v>
          </cell>
          <cell r="F109">
            <v>1324171354</v>
          </cell>
          <cell r="G109">
            <v>1339180127</v>
          </cell>
        </row>
        <row r="110">
          <cell r="A110" t="str">
            <v>Not classified</v>
          </cell>
          <cell r="B110" t="str">
            <v>INX</v>
          </cell>
          <cell r="C110" t="str">
            <v>Population, total</v>
          </cell>
          <cell r="D110" t="str">
            <v>SP.POP.TOTL</v>
          </cell>
        </row>
        <row r="111">
          <cell r="A111" t="str">
            <v>Ireland</v>
          </cell>
          <cell r="B111" t="str">
            <v>IRL</v>
          </cell>
          <cell r="C111" t="str">
            <v>Population, total</v>
          </cell>
          <cell r="D111" t="str">
            <v>SP.POP.TOTL</v>
          </cell>
          <cell r="E111">
            <v>4701957</v>
          </cell>
          <cell r="F111">
            <v>4755335</v>
          </cell>
          <cell r="G111">
            <v>4813608</v>
          </cell>
        </row>
        <row r="112">
          <cell r="A112" t="str">
            <v>Iran, Islamic Rep.</v>
          </cell>
          <cell r="B112" t="str">
            <v>IRN</v>
          </cell>
          <cell r="C112" t="str">
            <v>Population, total</v>
          </cell>
          <cell r="D112" t="str">
            <v>SP.POP.TOTL</v>
          </cell>
          <cell r="E112">
            <v>79360487</v>
          </cell>
          <cell r="F112">
            <v>80277428</v>
          </cell>
          <cell r="G112">
            <v>81162788</v>
          </cell>
        </row>
        <row r="113">
          <cell r="A113" t="str">
            <v>Iraq</v>
          </cell>
          <cell r="B113" t="str">
            <v>IRQ</v>
          </cell>
          <cell r="C113" t="str">
            <v>Population, total</v>
          </cell>
          <cell r="D113" t="str">
            <v>SP.POP.TOTL</v>
          </cell>
          <cell r="E113">
            <v>36115649</v>
          </cell>
          <cell r="F113">
            <v>37202572</v>
          </cell>
          <cell r="G113">
            <v>38274618</v>
          </cell>
        </row>
        <row r="114">
          <cell r="A114" t="str">
            <v>Iceland</v>
          </cell>
          <cell r="B114" t="str">
            <v>ISL</v>
          </cell>
          <cell r="C114" t="str">
            <v>Population, total</v>
          </cell>
          <cell r="D114" t="str">
            <v>SP.POP.TOTL</v>
          </cell>
          <cell r="E114">
            <v>330815</v>
          </cell>
          <cell r="F114">
            <v>335439</v>
          </cell>
          <cell r="G114">
            <v>341284</v>
          </cell>
        </row>
        <row r="115">
          <cell r="A115" t="str">
            <v>Israel</v>
          </cell>
          <cell r="B115" t="str">
            <v>ISR</v>
          </cell>
          <cell r="C115" t="str">
            <v>Population, total</v>
          </cell>
          <cell r="D115" t="str">
            <v>SP.POP.TOTL</v>
          </cell>
          <cell r="E115">
            <v>8380100</v>
          </cell>
          <cell r="F115">
            <v>8546000</v>
          </cell>
          <cell r="G115">
            <v>8712400</v>
          </cell>
        </row>
        <row r="116">
          <cell r="A116" t="str">
            <v>Italy</v>
          </cell>
          <cell r="B116" t="str">
            <v>ITA</v>
          </cell>
          <cell r="C116" t="str">
            <v>Population, total</v>
          </cell>
          <cell r="D116" t="str">
            <v>SP.POP.TOTL</v>
          </cell>
          <cell r="E116">
            <v>60730582</v>
          </cell>
          <cell r="F116">
            <v>60627498</v>
          </cell>
          <cell r="G116">
            <v>60551416</v>
          </cell>
        </row>
        <row r="117">
          <cell r="A117" t="str">
            <v>Jamaica</v>
          </cell>
          <cell r="B117" t="str">
            <v>JAM</v>
          </cell>
          <cell r="C117" t="str">
            <v>Population, total</v>
          </cell>
          <cell r="D117" t="str">
            <v>SP.POP.TOTL</v>
          </cell>
          <cell r="E117">
            <v>2871934</v>
          </cell>
          <cell r="F117">
            <v>2881355</v>
          </cell>
          <cell r="G117">
            <v>2890299</v>
          </cell>
        </row>
        <row r="118">
          <cell r="A118" t="str">
            <v>Jordan</v>
          </cell>
          <cell r="B118" t="str">
            <v>JOR</v>
          </cell>
          <cell r="C118" t="str">
            <v>Population, total</v>
          </cell>
          <cell r="D118" t="str">
            <v>SP.POP.TOTL</v>
          </cell>
          <cell r="E118">
            <v>9159302</v>
          </cell>
          <cell r="F118">
            <v>9455802</v>
          </cell>
          <cell r="G118">
            <v>9702353</v>
          </cell>
        </row>
        <row r="119">
          <cell r="A119" t="str">
            <v>Japan</v>
          </cell>
          <cell r="B119" t="str">
            <v>JPN</v>
          </cell>
          <cell r="C119" t="str">
            <v>Population, total</v>
          </cell>
          <cell r="D119" t="str">
            <v>SP.POP.TOTL</v>
          </cell>
          <cell r="E119">
            <v>127141000</v>
          </cell>
          <cell r="F119">
            <v>126994511</v>
          </cell>
          <cell r="G119">
            <v>126785797</v>
          </cell>
        </row>
        <row r="120">
          <cell r="A120" t="str">
            <v>Kazakhstan</v>
          </cell>
          <cell r="B120" t="str">
            <v>KAZ</v>
          </cell>
          <cell r="C120" t="str">
            <v>Population, total</v>
          </cell>
          <cell r="D120" t="str">
            <v>SP.POP.TOTL</v>
          </cell>
          <cell r="E120">
            <v>17542806</v>
          </cell>
          <cell r="F120">
            <v>17794055</v>
          </cell>
          <cell r="G120">
            <v>18037646</v>
          </cell>
        </row>
        <row r="121">
          <cell r="A121" t="str">
            <v>Kenya</v>
          </cell>
          <cell r="B121" t="str">
            <v>KEN</v>
          </cell>
          <cell r="C121" t="str">
            <v>Population, total</v>
          </cell>
          <cell r="D121" t="str">
            <v>SP.POP.TOTL</v>
          </cell>
          <cell r="E121">
            <v>47236259</v>
          </cell>
          <cell r="F121">
            <v>48461567</v>
          </cell>
          <cell r="G121">
            <v>49699862</v>
          </cell>
        </row>
        <row r="122">
          <cell r="A122" t="str">
            <v>Kyrgyz Republic</v>
          </cell>
          <cell r="B122" t="str">
            <v>KGZ</v>
          </cell>
          <cell r="C122" t="str">
            <v>Population, total</v>
          </cell>
          <cell r="D122" t="str">
            <v>SP.POP.TOTL</v>
          </cell>
          <cell r="E122">
            <v>5956900</v>
          </cell>
          <cell r="F122">
            <v>6079500</v>
          </cell>
          <cell r="G122">
            <v>6201500</v>
          </cell>
        </row>
        <row r="123">
          <cell r="A123" t="str">
            <v>Cambodia</v>
          </cell>
          <cell r="B123" t="str">
            <v>KHM</v>
          </cell>
          <cell r="C123" t="str">
            <v>Population, total</v>
          </cell>
          <cell r="D123" t="str">
            <v>SP.POP.TOTL</v>
          </cell>
          <cell r="E123">
            <v>15517635</v>
          </cell>
          <cell r="F123">
            <v>15762370</v>
          </cell>
          <cell r="G123">
            <v>16005373</v>
          </cell>
        </row>
        <row r="124">
          <cell r="A124" t="str">
            <v>Kiribati</v>
          </cell>
          <cell r="B124" t="str">
            <v>KIR</v>
          </cell>
          <cell r="C124" t="str">
            <v>Population, total</v>
          </cell>
          <cell r="D124" t="str">
            <v>SP.POP.TOTL</v>
          </cell>
          <cell r="E124">
            <v>112407</v>
          </cell>
          <cell r="F124">
            <v>114395</v>
          </cell>
          <cell r="G124">
            <v>116398</v>
          </cell>
        </row>
        <row r="125">
          <cell r="A125" t="str">
            <v>St. Kitts and Nevis</v>
          </cell>
          <cell r="B125" t="str">
            <v>KNA</v>
          </cell>
          <cell r="C125" t="str">
            <v>Population, total</v>
          </cell>
          <cell r="D125" t="str">
            <v>SP.POP.TOTL</v>
          </cell>
          <cell r="E125">
            <v>54288</v>
          </cell>
          <cell r="F125">
            <v>54821</v>
          </cell>
          <cell r="G125">
            <v>55345</v>
          </cell>
        </row>
        <row r="126">
          <cell r="A126" t="str">
            <v>Korea, Rep.</v>
          </cell>
          <cell r="B126" t="str">
            <v>KOR</v>
          </cell>
          <cell r="C126" t="str">
            <v>Population, total</v>
          </cell>
          <cell r="D126" t="str">
            <v>SP.POP.TOTL</v>
          </cell>
          <cell r="E126">
            <v>51014947</v>
          </cell>
          <cell r="F126">
            <v>51245707</v>
          </cell>
          <cell r="G126">
            <v>51466201</v>
          </cell>
        </row>
        <row r="127">
          <cell r="A127" t="str">
            <v>Kuwait</v>
          </cell>
          <cell r="B127" t="str">
            <v>KWT</v>
          </cell>
          <cell r="C127" t="str">
            <v>Population, total</v>
          </cell>
          <cell r="D127" t="str">
            <v>SP.POP.TOTL</v>
          </cell>
          <cell r="E127">
            <v>3935794</v>
          </cell>
          <cell r="F127">
            <v>4052584</v>
          </cell>
          <cell r="G127">
            <v>4136528</v>
          </cell>
        </row>
        <row r="128">
          <cell r="A128" t="str">
            <v>Latin America &amp; Caribbean (excluding high income)</v>
          </cell>
          <cell r="B128" t="str">
            <v>LAC</v>
          </cell>
          <cell r="C128" t="str">
            <v>Population, total</v>
          </cell>
          <cell r="D128" t="str">
            <v>SP.POP.TOTL</v>
          </cell>
          <cell r="E128">
            <v>556257851</v>
          </cell>
          <cell r="F128">
            <v>562254848</v>
          </cell>
          <cell r="G128">
            <v>568136842</v>
          </cell>
        </row>
        <row r="129">
          <cell r="A129" t="str">
            <v>Lao PDR</v>
          </cell>
          <cell r="B129" t="str">
            <v>LAO</v>
          </cell>
          <cell r="C129" t="str">
            <v>Population, total</v>
          </cell>
          <cell r="D129" t="str">
            <v>SP.POP.TOTL</v>
          </cell>
          <cell r="E129">
            <v>6663967</v>
          </cell>
          <cell r="F129">
            <v>6758353</v>
          </cell>
          <cell r="G129">
            <v>6858160</v>
          </cell>
        </row>
        <row r="130">
          <cell r="A130" t="str">
            <v>Lebanon</v>
          </cell>
          <cell r="B130" t="str">
            <v>LBN</v>
          </cell>
          <cell r="C130" t="str">
            <v>Population, total</v>
          </cell>
          <cell r="D130" t="str">
            <v>SP.POP.TOTL</v>
          </cell>
          <cell r="E130">
            <v>5851479</v>
          </cell>
          <cell r="F130">
            <v>6006668</v>
          </cell>
          <cell r="G130">
            <v>6082357</v>
          </cell>
        </row>
        <row r="131">
          <cell r="A131" t="str">
            <v>Liberia</v>
          </cell>
          <cell r="B131" t="str">
            <v>LBR</v>
          </cell>
          <cell r="C131" t="str">
            <v>Population, total</v>
          </cell>
          <cell r="D131" t="str">
            <v>SP.POP.TOTL</v>
          </cell>
          <cell r="E131">
            <v>4499621</v>
          </cell>
          <cell r="F131">
            <v>4613823</v>
          </cell>
          <cell r="G131">
            <v>4731906</v>
          </cell>
        </row>
        <row r="132">
          <cell r="A132" t="str">
            <v>Libya</v>
          </cell>
          <cell r="B132" t="str">
            <v>LBY</v>
          </cell>
          <cell r="C132" t="str">
            <v>Population, total</v>
          </cell>
          <cell r="D132" t="str">
            <v>SP.POP.TOTL</v>
          </cell>
          <cell r="E132">
            <v>6234955</v>
          </cell>
          <cell r="F132">
            <v>6293253</v>
          </cell>
          <cell r="G132">
            <v>6374616</v>
          </cell>
        </row>
        <row r="133">
          <cell r="A133" t="str">
            <v>St. Lucia</v>
          </cell>
          <cell r="B133" t="str">
            <v>LCA</v>
          </cell>
          <cell r="C133" t="str">
            <v>Population, total</v>
          </cell>
          <cell r="D133" t="str">
            <v>SP.POP.TOTL</v>
          </cell>
          <cell r="E133">
            <v>177206</v>
          </cell>
          <cell r="F133">
            <v>178015</v>
          </cell>
          <cell r="G133">
            <v>178844</v>
          </cell>
        </row>
        <row r="134">
          <cell r="A134" t="str">
            <v>Latin America &amp; Caribbean</v>
          </cell>
          <cell r="B134" t="str">
            <v>LCN</v>
          </cell>
          <cell r="C134" t="str">
            <v>Population, total</v>
          </cell>
          <cell r="D134" t="str">
            <v>SP.POP.TOTL</v>
          </cell>
          <cell r="E134">
            <v>631062657</v>
          </cell>
          <cell r="F134">
            <v>637663890</v>
          </cell>
          <cell r="G134">
            <v>644137666</v>
          </cell>
        </row>
        <row r="135">
          <cell r="A135" t="str">
            <v>Least developed countries: UN classification</v>
          </cell>
          <cell r="B135" t="str">
            <v>LDC</v>
          </cell>
          <cell r="C135" t="str">
            <v>Population, total</v>
          </cell>
          <cell r="D135" t="str">
            <v>SP.POP.TOTL</v>
          </cell>
          <cell r="E135">
            <v>956631108</v>
          </cell>
          <cell r="F135">
            <v>979387925</v>
          </cell>
          <cell r="G135">
            <v>1002485957</v>
          </cell>
        </row>
        <row r="136">
          <cell r="A136" t="str">
            <v>Low income</v>
          </cell>
          <cell r="B136" t="str">
            <v>LIC</v>
          </cell>
          <cell r="C136" t="str">
            <v>Population, total</v>
          </cell>
          <cell r="D136" t="str">
            <v>SP.POP.TOTL</v>
          </cell>
          <cell r="E136">
            <v>696058453</v>
          </cell>
          <cell r="F136">
            <v>714022293</v>
          </cell>
          <cell r="G136">
            <v>732448558</v>
          </cell>
        </row>
        <row r="137">
          <cell r="A137" t="str">
            <v>Liechtenstein</v>
          </cell>
          <cell r="B137" t="str">
            <v>LIE</v>
          </cell>
          <cell r="C137" t="str">
            <v>Population, total</v>
          </cell>
          <cell r="D137" t="str">
            <v>SP.POP.TOTL</v>
          </cell>
          <cell r="E137">
            <v>37403</v>
          </cell>
          <cell r="F137">
            <v>37666</v>
          </cell>
          <cell r="G137">
            <v>37922</v>
          </cell>
        </row>
        <row r="138">
          <cell r="A138" t="str">
            <v>Sri Lanka</v>
          </cell>
          <cell r="B138" t="str">
            <v>LKA</v>
          </cell>
          <cell r="C138" t="str">
            <v>Population, total</v>
          </cell>
          <cell r="D138" t="str">
            <v>SP.POP.TOTL</v>
          </cell>
          <cell r="E138">
            <v>20966000</v>
          </cell>
          <cell r="F138">
            <v>21203000</v>
          </cell>
          <cell r="G138">
            <v>21444000</v>
          </cell>
        </row>
        <row r="139">
          <cell r="A139" t="str">
            <v>Lower middle income</v>
          </cell>
          <cell r="B139" t="str">
            <v>LMC</v>
          </cell>
          <cell r="C139" t="str">
            <v>Population, total</v>
          </cell>
          <cell r="D139" t="str">
            <v>SP.POP.TOTL</v>
          </cell>
          <cell r="E139">
            <v>2889349899</v>
          </cell>
          <cell r="F139">
            <v>2931075528</v>
          </cell>
          <cell r="G139">
            <v>2972642807</v>
          </cell>
        </row>
        <row r="140">
          <cell r="A140" t="str">
            <v>Low &amp; middle income</v>
          </cell>
          <cell r="B140" t="str">
            <v>LMY</v>
          </cell>
          <cell r="C140" t="str">
            <v>Population, total</v>
          </cell>
          <cell r="D140" t="str">
            <v>SP.POP.TOTL</v>
          </cell>
          <cell r="E140">
            <v>6122845409</v>
          </cell>
          <cell r="F140">
            <v>6202019744</v>
          </cell>
          <cell r="G140">
            <v>6281293921</v>
          </cell>
        </row>
        <row r="141">
          <cell r="A141" t="str">
            <v>Lesotho</v>
          </cell>
          <cell r="B141" t="str">
            <v>LSO</v>
          </cell>
          <cell r="C141" t="str">
            <v>Population, total</v>
          </cell>
          <cell r="D141" t="str">
            <v>SP.POP.TOTL</v>
          </cell>
          <cell r="E141">
            <v>2174645</v>
          </cell>
          <cell r="F141">
            <v>2203821</v>
          </cell>
          <cell r="G141">
            <v>2233339</v>
          </cell>
        </row>
        <row r="142">
          <cell r="A142" t="str">
            <v>Late-demographic dividend</v>
          </cell>
          <cell r="B142" t="str">
            <v>LTE</v>
          </cell>
          <cell r="C142" t="str">
            <v>Population, total</v>
          </cell>
          <cell r="D142" t="str">
            <v>SP.POP.TOTL</v>
          </cell>
          <cell r="E142">
            <v>2250812795</v>
          </cell>
          <cell r="F142">
            <v>2264568981</v>
          </cell>
          <cell r="G142">
            <v>2278227192</v>
          </cell>
        </row>
        <row r="143">
          <cell r="A143" t="str">
            <v>Lithuania</v>
          </cell>
          <cell r="B143" t="str">
            <v>LTU</v>
          </cell>
          <cell r="C143" t="str">
            <v>Population, total</v>
          </cell>
          <cell r="D143" t="str">
            <v>SP.POP.TOTL</v>
          </cell>
          <cell r="E143">
            <v>2904910</v>
          </cell>
          <cell r="F143">
            <v>2868231</v>
          </cell>
          <cell r="G143">
            <v>2827721</v>
          </cell>
        </row>
        <row r="144">
          <cell r="A144" t="str">
            <v>Luxembourg</v>
          </cell>
          <cell r="B144" t="str">
            <v>LUX</v>
          </cell>
          <cell r="C144" t="str">
            <v>Population, total</v>
          </cell>
          <cell r="D144" t="str">
            <v>SP.POP.TOTL</v>
          </cell>
          <cell r="E144">
            <v>569604</v>
          </cell>
          <cell r="F144">
            <v>582014</v>
          </cell>
          <cell r="G144">
            <v>599449</v>
          </cell>
        </row>
        <row r="145">
          <cell r="A145" t="str">
            <v>Latvia</v>
          </cell>
          <cell r="B145" t="str">
            <v>LVA</v>
          </cell>
          <cell r="C145" t="str">
            <v>Population, total</v>
          </cell>
          <cell r="D145" t="str">
            <v>SP.POP.TOTL</v>
          </cell>
          <cell r="E145">
            <v>1977527</v>
          </cell>
          <cell r="F145">
            <v>1959537</v>
          </cell>
          <cell r="G145">
            <v>1940740</v>
          </cell>
        </row>
        <row r="146">
          <cell r="A146" t="str">
            <v>Macao SAR, China</v>
          </cell>
          <cell r="B146" t="str">
            <v>MAC</v>
          </cell>
          <cell r="C146" t="str">
            <v>Population, total</v>
          </cell>
          <cell r="D146" t="str">
            <v>SP.POP.TOTL</v>
          </cell>
          <cell r="E146">
            <v>600942</v>
          </cell>
          <cell r="F146">
            <v>612167</v>
          </cell>
          <cell r="G146">
            <v>622567</v>
          </cell>
        </row>
        <row r="147">
          <cell r="A147" t="str">
            <v>St. Martin (French part)</v>
          </cell>
          <cell r="B147" t="str">
            <v>MAF</v>
          </cell>
          <cell r="C147" t="str">
            <v>Population, total</v>
          </cell>
          <cell r="D147" t="str">
            <v>SP.POP.TOTL</v>
          </cell>
          <cell r="E147">
            <v>31754</v>
          </cell>
          <cell r="F147">
            <v>31949</v>
          </cell>
          <cell r="G147">
            <v>32125</v>
          </cell>
        </row>
        <row r="148">
          <cell r="A148" t="str">
            <v>Morocco</v>
          </cell>
          <cell r="B148" t="str">
            <v>MAR</v>
          </cell>
          <cell r="C148" t="str">
            <v>Population, total</v>
          </cell>
          <cell r="D148" t="str">
            <v>SP.POP.TOTL</v>
          </cell>
          <cell r="E148">
            <v>34803322</v>
          </cell>
          <cell r="F148">
            <v>35276786</v>
          </cell>
          <cell r="G148">
            <v>35739580</v>
          </cell>
        </row>
        <row r="149">
          <cell r="A149" t="str">
            <v>Monaco</v>
          </cell>
          <cell r="B149" t="str">
            <v>MCO</v>
          </cell>
          <cell r="C149" t="str">
            <v>Population, total</v>
          </cell>
          <cell r="D149" t="str">
            <v>SP.POP.TOTL</v>
          </cell>
          <cell r="E149">
            <v>38307</v>
          </cell>
          <cell r="F149">
            <v>38499</v>
          </cell>
          <cell r="G149">
            <v>38695</v>
          </cell>
        </row>
        <row r="150">
          <cell r="A150" t="str">
            <v>Moldova</v>
          </cell>
          <cell r="B150" t="str">
            <v>MDA</v>
          </cell>
          <cell r="C150" t="str">
            <v>Population, total</v>
          </cell>
          <cell r="D150" t="str">
            <v>SP.POP.TOTL</v>
          </cell>
          <cell r="E150">
            <v>3554108</v>
          </cell>
          <cell r="F150">
            <v>3551954</v>
          </cell>
          <cell r="G150">
            <v>3549750</v>
          </cell>
        </row>
        <row r="151">
          <cell r="A151" t="str">
            <v>Madagascar</v>
          </cell>
          <cell r="B151" t="str">
            <v>MDG</v>
          </cell>
          <cell r="C151" t="str">
            <v>Population, total</v>
          </cell>
          <cell r="D151" t="str">
            <v>SP.POP.TOTL</v>
          </cell>
          <cell r="E151">
            <v>24234088</v>
          </cell>
          <cell r="F151">
            <v>24894551</v>
          </cell>
          <cell r="G151">
            <v>25570895</v>
          </cell>
        </row>
        <row r="152">
          <cell r="A152" t="str">
            <v>Maldives</v>
          </cell>
          <cell r="B152" t="str">
            <v>MDV</v>
          </cell>
          <cell r="C152" t="str">
            <v>Population, total</v>
          </cell>
          <cell r="D152" t="str">
            <v>SP.POP.TOTL</v>
          </cell>
          <cell r="E152">
            <v>418403</v>
          </cell>
          <cell r="F152">
            <v>427756</v>
          </cell>
          <cell r="G152">
            <v>436330</v>
          </cell>
        </row>
        <row r="153">
          <cell r="A153" t="str">
            <v>Middle East &amp; North Africa</v>
          </cell>
          <cell r="B153" t="str">
            <v>MEA</v>
          </cell>
          <cell r="C153" t="str">
            <v>Population, total</v>
          </cell>
          <cell r="D153" t="str">
            <v>SP.POP.TOTL</v>
          </cell>
          <cell r="E153">
            <v>428974903</v>
          </cell>
          <cell r="F153">
            <v>436738031</v>
          </cell>
          <cell r="G153">
            <v>444322417</v>
          </cell>
        </row>
        <row r="154">
          <cell r="A154" t="str">
            <v>Mexico</v>
          </cell>
          <cell r="B154" t="str">
            <v>MEX</v>
          </cell>
          <cell r="C154" t="str">
            <v>Population, total</v>
          </cell>
          <cell r="D154" t="str">
            <v>SP.POP.TOTL</v>
          </cell>
          <cell r="E154">
            <v>125890949</v>
          </cell>
          <cell r="F154">
            <v>127540423</v>
          </cell>
          <cell r="G154">
            <v>129163276</v>
          </cell>
        </row>
        <row r="155">
          <cell r="A155" t="str">
            <v>Marshall Islands</v>
          </cell>
          <cell r="B155" t="str">
            <v>MHL</v>
          </cell>
          <cell r="C155" t="str">
            <v>Population, total</v>
          </cell>
          <cell r="D155" t="str">
            <v>SP.POP.TOTL</v>
          </cell>
          <cell r="E155">
            <v>52994</v>
          </cell>
          <cell r="F155">
            <v>53066</v>
          </cell>
          <cell r="G155">
            <v>53127</v>
          </cell>
        </row>
        <row r="156">
          <cell r="A156" t="str">
            <v>Middle income</v>
          </cell>
          <cell r="B156" t="str">
            <v>MIC</v>
          </cell>
          <cell r="C156" t="str">
            <v>Population, total</v>
          </cell>
          <cell r="D156" t="str">
            <v>SP.POP.TOTL</v>
          </cell>
          <cell r="E156">
            <v>5426786956</v>
          </cell>
          <cell r="F156">
            <v>5487997451</v>
          </cell>
          <cell r="G156">
            <v>5548845363</v>
          </cell>
        </row>
        <row r="157">
          <cell r="A157" t="str">
            <v>Macedonia, FYR</v>
          </cell>
          <cell r="B157" t="str">
            <v>MKD</v>
          </cell>
          <cell r="C157" t="str">
            <v>Population, total</v>
          </cell>
          <cell r="D157" t="str">
            <v>SP.POP.TOTL</v>
          </cell>
          <cell r="E157">
            <v>2079308</v>
          </cell>
          <cell r="F157">
            <v>2081206</v>
          </cell>
          <cell r="G157">
            <v>2083160</v>
          </cell>
        </row>
        <row r="158">
          <cell r="A158" t="str">
            <v>Mali</v>
          </cell>
          <cell r="B158" t="str">
            <v>MLI</v>
          </cell>
          <cell r="C158" t="str">
            <v>Population, total</v>
          </cell>
          <cell r="D158" t="str">
            <v>SP.POP.TOTL</v>
          </cell>
          <cell r="E158">
            <v>17467905</v>
          </cell>
          <cell r="F158">
            <v>17994837</v>
          </cell>
          <cell r="G158">
            <v>18541980</v>
          </cell>
        </row>
        <row r="159">
          <cell r="A159" t="str">
            <v>Malta</v>
          </cell>
          <cell r="B159" t="str">
            <v>MLT</v>
          </cell>
          <cell r="C159" t="str">
            <v>Population, total</v>
          </cell>
          <cell r="D159" t="str">
            <v>SP.POP.TOTL</v>
          </cell>
          <cell r="E159">
            <v>445053</v>
          </cell>
          <cell r="F159">
            <v>455356</v>
          </cell>
          <cell r="G159">
            <v>465292</v>
          </cell>
        </row>
        <row r="160">
          <cell r="A160" t="str">
            <v>Myanmar</v>
          </cell>
          <cell r="B160" t="str">
            <v>MMR</v>
          </cell>
          <cell r="C160" t="str">
            <v>Population, total</v>
          </cell>
          <cell r="D160" t="str">
            <v>SP.POP.TOTL</v>
          </cell>
          <cell r="E160">
            <v>52403669</v>
          </cell>
          <cell r="F160">
            <v>52885223</v>
          </cell>
          <cell r="G160">
            <v>53370609</v>
          </cell>
        </row>
        <row r="161">
          <cell r="A161" t="str">
            <v>Middle East &amp; North Africa (excluding high income)</v>
          </cell>
          <cell r="B161" t="str">
            <v>MNA</v>
          </cell>
          <cell r="C161" t="str">
            <v>Population, total</v>
          </cell>
          <cell r="D161" t="str">
            <v>SP.POP.TOTL</v>
          </cell>
          <cell r="E161">
            <v>367449306</v>
          </cell>
          <cell r="F161">
            <v>373719055</v>
          </cell>
          <cell r="G161">
            <v>379901782</v>
          </cell>
        </row>
        <row r="162">
          <cell r="A162" t="str">
            <v>Montenegro</v>
          </cell>
          <cell r="B162" t="str">
            <v>MNE</v>
          </cell>
          <cell r="C162" t="str">
            <v>Population, total</v>
          </cell>
          <cell r="D162" t="str">
            <v>SP.POP.TOTL</v>
          </cell>
          <cell r="E162">
            <v>622159</v>
          </cell>
          <cell r="F162">
            <v>622303</v>
          </cell>
          <cell r="G162">
            <v>622471</v>
          </cell>
        </row>
        <row r="163">
          <cell r="A163" t="str">
            <v>Mongolia</v>
          </cell>
          <cell r="B163" t="str">
            <v>MNG</v>
          </cell>
          <cell r="C163" t="str">
            <v>Population, total</v>
          </cell>
          <cell r="D163" t="str">
            <v>SP.POP.TOTL</v>
          </cell>
          <cell r="E163">
            <v>2976877</v>
          </cell>
          <cell r="F163">
            <v>3027398</v>
          </cell>
          <cell r="G163">
            <v>3075647</v>
          </cell>
        </row>
        <row r="164">
          <cell r="A164" t="str">
            <v>Northern Mariana Islands</v>
          </cell>
          <cell r="B164" t="str">
            <v>MNP</v>
          </cell>
          <cell r="C164" t="str">
            <v>Population, total</v>
          </cell>
          <cell r="D164" t="str">
            <v>SP.POP.TOTL</v>
          </cell>
          <cell r="E164">
            <v>54816</v>
          </cell>
          <cell r="F164">
            <v>55023</v>
          </cell>
          <cell r="G164">
            <v>55144</v>
          </cell>
        </row>
        <row r="165">
          <cell r="A165" t="str">
            <v>Mozambique</v>
          </cell>
          <cell r="B165" t="str">
            <v>MOZ</v>
          </cell>
          <cell r="C165" t="str">
            <v>Population, total</v>
          </cell>
          <cell r="D165" t="str">
            <v>SP.POP.TOTL</v>
          </cell>
          <cell r="E165">
            <v>28010691</v>
          </cell>
          <cell r="F165">
            <v>28829476</v>
          </cell>
          <cell r="G165">
            <v>29668834</v>
          </cell>
        </row>
        <row r="166">
          <cell r="A166" t="str">
            <v>Mauritania</v>
          </cell>
          <cell r="B166" t="str">
            <v>MRT</v>
          </cell>
          <cell r="C166" t="str">
            <v>Population, total</v>
          </cell>
          <cell r="D166" t="str">
            <v>SP.POP.TOTL</v>
          </cell>
          <cell r="E166">
            <v>4182341</v>
          </cell>
          <cell r="F166">
            <v>4301018</v>
          </cell>
          <cell r="G166">
            <v>4420184</v>
          </cell>
        </row>
        <row r="167">
          <cell r="A167" t="str">
            <v>Mauritius</v>
          </cell>
          <cell r="B167" t="str">
            <v>MUS</v>
          </cell>
          <cell r="C167" t="str">
            <v>Population, total</v>
          </cell>
          <cell r="D167" t="str">
            <v>SP.POP.TOTL</v>
          </cell>
          <cell r="E167">
            <v>1262605</v>
          </cell>
          <cell r="F167">
            <v>1263473</v>
          </cell>
          <cell r="G167">
            <v>1264613</v>
          </cell>
        </row>
        <row r="168">
          <cell r="A168" t="str">
            <v>Malawi</v>
          </cell>
          <cell r="B168" t="str">
            <v>MWI</v>
          </cell>
          <cell r="C168" t="str">
            <v>Population, total</v>
          </cell>
          <cell r="D168" t="str">
            <v>SP.POP.TOTL</v>
          </cell>
          <cell r="E168">
            <v>17573607</v>
          </cell>
          <cell r="F168">
            <v>18091575</v>
          </cell>
          <cell r="G168">
            <v>18622104</v>
          </cell>
        </row>
        <row r="169">
          <cell r="A169" t="str">
            <v>Malaysia</v>
          </cell>
          <cell r="B169" t="str">
            <v>MYS</v>
          </cell>
          <cell r="C169" t="str">
            <v>Population, total</v>
          </cell>
          <cell r="D169" t="str">
            <v>SP.POP.TOTL</v>
          </cell>
          <cell r="E169">
            <v>30723155</v>
          </cell>
          <cell r="F169">
            <v>31187265</v>
          </cell>
          <cell r="G169">
            <v>31624264</v>
          </cell>
        </row>
        <row r="170">
          <cell r="A170" t="str">
            <v>North America</v>
          </cell>
          <cell r="B170" t="str">
            <v>NAC</v>
          </cell>
          <cell r="C170" t="str">
            <v>Population, total</v>
          </cell>
          <cell r="D170" t="str">
            <v>SP.POP.TOTL</v>
          </cell>
          <cell r="E170">
            <v>356937591</v>
          </cell>
          <cell r="F170">
            <v>359735880</v>
          </cell>
          <cell r="G170">
            <v>362492702</v>
          </cell>
        </row>
        <row r="171">
          <cell r="A171" t="str">
            <v>Namibia</v>
          </cell>
          <cell r="B171" t="str">
            <v>NAM</v>
          </cell>
          <cell r="C171" t="str">
            <v>Population, total</v>
          </cell>
          <cell r="D171" t="str">
            <v>SP.POP.TOTL</v>
          </cell>
          <cell r="E171">
            <v>2425561</v>
          </cell>
          <cell r="F171">
            <v>2479713</v>
          </cell>
          <cell r="G171">
            <v>2533794</v>
          </cell>
        </row>
        <row r="172">
          <cell r="A172" t="str">
            <v>New Caledonia</v>
          </cell>
          <cell r="B172" t="str">
            <v>NCL</v>
          </cell>
          <cell r="C172" t="str">
            <v>Population, total</v>
          </cell>
          <cell r="D172" t="str">
            <v>SP.POP.TOTL</v>
          </cell>
          <cell r="E172">
            <v>272400</v>
          </cell>
          <cell r="F172">
            <v>276550</v>
          </cell>
          <cell r="G172">
            <v>280460</v>
          </cell>
        </row>
        <row r="173">
          <cell r="A173" t="str">
            <v>Niger</v>
          </cell>
          <cell r="B173" t="str">
            <v>NER</v>
          </cell>
          <cell r="C173" t="str">
            <v>Population, total</v>
          </cell>
          <cell r="D173" t="str">
            <v>SP.POP.TOTL</v>
          </cell>
          <cell r="E173">
            <v>19896965</v>
          </cell>
          <cell r="F173">
            <v>20672987</v>
          </cell>
          <cell r="G173">
            <v>21477348</v>
          </cell>
        </row>
        <row r="174">
          <cell r="A174" t="str">
            <v>Nigeria</v>
          </cell>
          <cell r="B174" t="str">
            <v>NGA</v>
          </cell>
          <cell r="C174" t="str">
            <v>Population, total</v>
          </cell>
          <cell r="D174" t="str">
            <v>SP.POP.TOTL</v>
          </cell>
          <cell r="E174">
            <v>181181744</v>
          </cell>
          <cell r="F174">
            <v>185989640</v>
          </cell>
          <cell r="G174">
            <v>190886311</v>
          </cell>
        </row>
        <row r="175">
          <cell r="A175" t="str">
            <v>Nicaragua</v>
          </cell>
          <cell r="B175" t="str">
            <v>NIC</v>
          </cell>
          <cell r="C175" t="str">
            <v>Population, total</v>
          </cell>
          <cell r="D175" t="str">
            <v>SP.POP.TOTL</v>
          </cell>
          <cell r="E175">
            <v>6082035</v>
          </cell>
          <cell r="F175">
            <v>6149928</v>
          </cell>
          <cell r="G175">
            <v>6217581</v>
          </cell>
        </row>
        <row r="176">
          <cell r="A176" t="str">
            <v>Netherlands</v>
          </cell>
          <cell r="B176" t="str">
            <v>NLD</v>
          </cell>
          <cell r="C176" t="str">
            <v>Population, total</v>
          </cell>
          <cell r="D176" t="str">
            <v>SP.POP.TOTL</v>
          </cell>
          <cell r="E176">
            <v>16939923</v>
          </cell>
          <cell r="F176">
            <v>17030314</v>
          </cell>
          <cell r="G176">
            <v>17132854</v>
          </cell>
        </row>
        <row r="177">
          <cell r="A177" t="str">
            <v>Norway</v>
          </cell>
          <cell r="B177" t="str">
            <v>NOR</v>
          </cell>
          <cell r="C177" t="str">
            <v>Population, total</v>
          </cell>
          <cell r="D177" t="str">
            <v>SP.POP.TOTL</v>
          </cell>
          <cell r="E177">
            <v>5190239</v>
          </cell>
          <cell r="F177">
            <v>5234519</v>
          </cell>
          <cell r="G177">
            <v>5282223</v>
          </cell>
        </row>
        <row r="178">
          <cell r="A178" t="str">
            <v>Nepal</v>
          </cell>
          <cell r="B178" t="str">
            <v>NPL</v>
          </cell>
          <cell r="C178" t="str">
            <v>Population, total</v>
          </cell>
          <cell r="D178" t="str">
            <v>SP.POP.TOTL</v>
          </cell>
          <cell r="E178">
            <v>28656282</v>
          </cell>
          <cell r="F178">
            <v>28982771</v>
          </cell>
          <cell r="G178">
            <v>29304998</v>
          </cell>
        </row>
        <row r="179">
          <cell r="A179" t="str">
            <v>Nauru</v>
          </cell>
          <cell r="B179" t="str">
            <v>NRU</v>
          </cell>
          <cell r="C179" t="str">
            <v>Population, total</v>
          </cell>
          <cell r="D179" t="str">
            <v>SP.POP.TOTL</v>
          </cell>
          <cell r="E179">
            <v>12475</v>
          </cell>
          <cell r="F179">
            <v>13049</v>
          </cell>
          <cell r="G179">
            <v>13649</v>
          </cell>
        </row>
        <row r="180">
          <cell r="A180" t="str">
            <v>New Zealand</v>
          </cell>
          <cell r="B180" t="str">
            <v>NZL</v>
          </cell>
          <cell r="C180" t="str">
            <v>Population, total</v>
          </cell>
          <cell r="D180" t="str">
            <v>SP.POP.TOTL</v>
          </cell>
          <cell r="E180">
            <v>4595700</v>
          </cell>
          <cell r="F180">
            <v>4693200</v>
          </cell>
          <cell r="G180">
            <v>4793900</v>
          </cell>
        </row>
        <row r="181">
          <cell r="A181" t="str">
            <v>OECD members</v>
          </cell>
          <cell r="B181" t="str">
            <v>OED</v>
          </cell>
          <cell r="C181" t="str">
            <v>Population, total</v>
          </cell>
          <cell r="D181" t="str">
            <v>SP.POP.TOTL</v>
          </cell>
          <cell r="E181">
            <v>1284497900</v>
          </cell>
          <cell r="F181">
            <v>1292855641</v>
          </cell>
          <cell r="G181">
            <v>1300865255</v>
          </cell>
        </row>
        <row r="182">
          <cell r="A182" t="str">
            <v>Oman</v>
          </cell>
          <cell r="B182" t="str">
            <v>OMN</v>
          </cell>
          <cell r="C182" t="str">
            <v>Population, total</v>
          </cell>
          <cell r="D182" t="str">
            <v>SP.POP.TOTL</v>
          </cell>
          <cell r="E182">
            <v>4199810</v>
          </cell>
          <cell r="F182">
            <v>4424762</v>
          </cell>
          <cell r="G182">
            <v>4636262</v>
          </cell>
        </row>
        <row r="183">
          <cell r="A183" t="str">
            <v>Other small states</v>
          </cell>
          <cell r="B183" t="str">
            <v>OSS</v>
          </cell>
          <cell r="C183" t="str">
            <v>Population, total</v>
          </cell>
          <cell r="D183" t="str">
            <v>SP.POP.TOTL</v>
          </cell>
          <cell r="E183">
            <v>29396503</v>
          </cell>
          <cell r="F183">
            <v>30012500</v>
          </cell>
          <cell r="G183">
            <v>30621014</v>
          </cell>
        </row>
        <row r="184">
          <cell r="A184" t="str">
            <v>Pakistan</v>
          </cell>
          <cell r="B184" t="str">
            <v>PAK</v>
          </cell>
          <cell r="C184" t="str">
            <v>Population, total</v>
          </cell>
          <cell r="D184" t="str">
            <v>SP.POP.TOTL</v>
          </cell>
          <cell r="E184">
            <v>189380513</v>
          </cell>
          <cell r="F184">
            <v>193203476</v>
          </cell>
          <cell r="G184">
            <v>197015955</v>
          </cell>
        </row>
        <row r="185">
          <cell r="A185" t="str">
            <v>Panama</v>
          </cell>
          <cell r="B185" t="str">
            <v>PAN</v>
          </cell>
          <cell r="C185" t="str">
            <v>Population, total</v>
          </cell>
          <cell r="D185" t="str">
            <v>SP.POP.TOTL</v>
          </cell>
          <cell r="E185">
            <v>3969249</v>
          </cell>
          <cell r="F185">
            <v>4034119</v>
          </cell>
          <cell r="G185">
            <v>4098587</v>
          </cell>
        </row>
        <row r="186">
          <cell r="A186" t="str">
            <v>Peru</v>
          </cell>
          <cell r="B186" t="str">
            <v>PER</v>
          </cell>
          <cell r="C186" t="str">
            <v>Population, total</v>
          </cell>
          <cell r="D186" t="str">
            <v>SP.POP.TOTL</v>
          </cell>
          <cell r="E186">
            <v>31376671</v>
          </cell>
          <cell r="F186">
            <v>31773839</v>
          </cell>
          <cell r="G186">
            <v>32165485</v>
          </cell>
        </row>
        <row r="187">
          <cell r="A187" t="str">
            <v>Philippines</v>
          </cell>
          <cell r="B187" t="str">
            <v>PHL</v>
          </cell>
          <cell r="C187" t="str">
            <v>Population, total</v>
          </cell>
          <cell r="D187" t="str">
            <v>SP.POP.TOTL</v>
          </cell>
          <cell r="E187">
            <v>101716359</v>
          </cell>
          <cell r="F187">
            <v>103320222</v>
          </cell>
          <cell r="G187">
            <v>104918090</v>
          </cell>
        </row>
        <row r="188">
          <cell r="A188" t="str">
            <v>Palau</v>
          </cell>
          <cell r="B188" t="str">
            <v>PLW</v>
          </cell>
          <cell r="C188" t="str">
            <v>Population, total</v>
          </cell>
          <cell r="D188" t="str">
            <v>SP.POP.TOTL</v>
          </cell>
          <cell r="E188">
            <v>21288</v>
          </cell>
          <cell r="F188">
            <v>21503</v>
          </cell>
          <cell r="G188">
            <v>21729</v>
          </cell>
        </row>
        <row r="189">
          <cell r="A189" t="str">
            <v>Papua New Guinea</v>
          </cell>
          <cell r="B189" t="str">
            <v>PNG</v>
          </cell>
          <cell r="C189" t="str">
            <v>Population, total</v>
          </cell>
          <cell r="D189" t="str">
            <v>SP.POP.TOTL</v>
          </cell>
          <cell r="E189">
            <v>7919825</v>
          </cell>
          <cell r="F189">
            <v>8084991</v>
          </cell>
          <cell r="G189">
            <v>8251162</v>
          </cell>
        </row>
        <row r="190">
          <cell r="A190" t="str">
            <v>Poland</v>
          </cell>
          <cell r="B190" t="str">
            <v>POL</v>
          </cell>
          <cell r="C190" t="str">
            <v>Population, total</v>
          </cell>
          <cell r="D190" t="str">
            <v>SP.POP.TOTL</v>
          </cell>
          <cell r="E190">
            <v>37986412</v>
          </cell>
          <cell r="F190">
            <v>37970087</v>
          </cell>
          <cell r="G190">
            <v>37975841</v>
          </cell>
        </row>
        <row r="191">
          <cell r="A191" t="str">
            <v>Pre-demographic dividend</v>
          </cell>
          <cell r="B191" t="str">
            <v>PRE</v>
          </cell>
          <cell r="C191" t="str">
            <v>Population, total</v>
          </cell>
          <cell r="D191" t="str">
            <v>SP.POP.TOTL</v>
          </cell>
          <cell r="E191">
            <v>854646007</v>
          </cell>
          <cell r="F191">
            <v>879292453</v>
          </cell>
          <cell r="G191">
            <v>904399841</v>
          </cell>
        </row>
        <row r="192">
          <cell r="A192" t="str">
            <v>Puerto Rico</v>
          </cell>
          <cell r="B192" t="str">
            <v>PRI</v>
          </cell>
          <cell r="C192" t="str">
            <v>Population, total</v>
          </cell>
          <cell r="D192" t="str">
            <v>SP.POP.TOTL</v>
          </cell>
          <cell r="E192">
            <v>3473177</v>
          </cell>
          <cell r="F192">
            <v>3406520</v>
          </cell>
          <cell r="G192">
            <v>3337177</v>
          </cell>
        </row>
        <row r="193">
          <cell r="A193" t="str">
            <v>Korea, Dem. People’s Rep.</v>
          </cell>
          <cell r="B193" t="str">
            <v>PRK</v>
          </cell>
          <cell r="C193" t="str">
            <v>Population, total</v>
          </cell>
          <cell r="D193" t="str">
            <v>SP.POP.TOTL</v>
          </cell>
          <cell r="E193">
            <v>25243917</v>
          </cell>
          <cell r="F193">
            <v>25368620</v>
          </cell>
          <cell r="G193">
            <v>25490965</v>
          </cell>
        </row>
        <row r="194">
          <cell r="A194" t="str">
            <v>Portugal</v>
          </cell>
          <cell r="B194" t="str">
            <v>PRT</v>
          </cell>
          <cell r="C194" t="str">
            <v>Population, total</v>
          </cell>
          <cell r="D194" t="str">
            <v>SP.POP.TOTL</v>
          </cell>
          <cell r="E194">
            <v>10358076</v>
          </cell>
          <cell r="F194">
            <v>10325452</v>
          </cell>
          <cell r="G194">
            <v>10293718</v>
          </cell>
        </row>
        <row r="195">
          <cell r="A195" t="str">
            <v>Paraguay</v>
          </cell>
          <cell r="B195" t="str">
            <v>PRY</v>
          </cell>
          <cell r="C195" t="str">
            <v>Population, total</v>
          </cell>
          <cell r="D195" t="str">
            <v>SP.POP.TOTL</v>
          </cell>
          <cell r="E195">
            <v>6639119</v>
          </cell>
          <cell r="F195">
            <v>6725308</v>
          </cell>
          <cell r="G195">
            <v>6811297</v>
          </cell>
        </row>
        <row r="196">
          <cell r="A196" t="str">
            <v>West Bank and Gaza</v>
          </cell>
          <cell r="B196" t="str">
            <v>PSE</v>
          </cell>
          <cell r="C196" t="str">
            <v>Population, total</v>
          </cell>
          <cell r="D196" t="str">
            <v>SP.POP.TOTL</v>
          </cell>
          <cell r="E196">
            <v>4422143</v>
          </cell>
          <cell r="F196">
            <v>4551566</v>
          </cell>
          <cell r="G196">
            <v>4684777</v>
          </cell>
        </row>
        <row r="197">
          <cell r="A197" t="str">
            <v>Pacific island small states</v>
          </cell>
          <cell r="B197" t="str">
            <v>PSS</v>
          </cell>
          <cell r="C197" t="str">
            <v>Population, total</v>
          </cell>
          <cell r="D197" t="str">
            <v>SP.POP.TOTL</v>
          </cell>
          <cell r="E197">
            <v>2358955</v>
          </cell>
          <cell r="F197">
            <v>2388875</v>
          </cell>
          <cell r="G197">
            <v>2419188</v>
          </cell>
        </row>
        <row r="198">
          <cell r="A198" t="str">
            <v>Post-demographic dividend</v>
          </cell>
          <cell r="B198" t="str">
            <v>PST</v>
          </cell>
          <cell r="C198" t="str">
            <v>Population, total</v>
          </cell>
          <cell r="D198" t="str">
            <v>SP.POP.TOTL</v>
          </cell>
          <cell r="E198">
            <v>1097735849</v>
          </cell>
          <cell r="F198">
            <v>1102778565</v>
          </cell>
          <cell r="G198">
            <v>1107374909</v>
          </cell>
        </row>
        <row r="199">
          <cell r="A199" t="str">
            <v>French Polynesia</v>
          </cell>
          <cell r="B199" t="str">
            <v>PYF</v>
          </cell>
          <cell r="C199" t="str">
            <v>Population, total</v>
          </cell>
          <cell r="D199" t="str">
            <v>SP.POP.TOTL</v>
          </cell>
          <cell r="E199">
            <v>277690</v>
          </cell>
          <cell r="F199">
            <v>280208</v>
          </cell>
          <cell r="G199">
            <v>283007</v>
          </cell>
        </row>
        <row r="200">
          <cell r="A200" t="str">
            <v>Qatar</v>
          </cell>
          <cell r="B200" t="str">
            <v>QAT</v>
          </cell>
          <cell r="C200" t="str">
            <v>Population, total</v>
          </cell>
          <cell r="D200" t="str">
            <v>SP.POP.TOTL</v>
          </cell>
          <cell r="E200">
            <v>2481539</v>
          </cell>
          <cell r="F200">
            <v>2569804</v>
          </cell>
          <cell r="G200">
            <v>2639211</v>
          </cell>
        </row>
        <row r="201">
          <cell r="A201" t="str">
            <v>Romania</v>
          </cell>
          <cell r="B201" t="str">
            <v>ROU</v>
          </cell>
          <cell r="C201" t="str">
            <v>Population, total</v>
          </cell>
          <cell r="D201" t="str">
            <v>SP.POP.TOTL</v>
          </cell>
          <cell r="E201">
            <v>19815481</v>
          </cell>
          <cell r="F201">
            <v>19702332</v>
          </cell>
          <cell r="G201">
            <v>19586539</v>
          </cell>
        </row>
        <row r="202">
          <cell r="A202" t="str">
            <v>Russian Federation</v>
          </cell>
          <cell r="B202" t="str">
            <v>RUS</v>
          </cell>
          <cell r="C202" t="str">
            <v>Population, total</v>
          </cell>
          <cell r="D202" t="str">
            <v>SP.POP.TOTL</v>
          </cell>
          <cell r="E202">
            <v>144096870</v>
          </cell>
          <cell r="F202">
            <v>144342396</v>
          </cell>
          <cell r="G202">
            <v>144495044</v>
          </cell>
        </row>
        <row r="203">
          <cell r="A203" t="str">
            <v>Rwanda</v>
          </cell>
          <cell r="B203" t="str">
            <v>RWA</v>
          </cell>
          <cell r="C203" t="str">
            <v>Population, total</v>
          </cell>
          <cell r="D203" t="str">
            <v>SP.POP.TOTL</v>
          </cell>
          <cell r="E203">
            <v>11629553</v>
          </cell>
          <cell r="F203">
            <v>11917508</v>
          </cell>
          <cell r="G203">
            <v>12208407</v>
          </cell>
        </row>
        <row r="204">
          <cell r="A204" t="str">
            <v>South Asia</v>
          </cell>
          <cell r="B204" t="str">
            <v>SAS</v>
          </cell>
          <cell r="C204" t="str">
            <v>Population, total</v>
          </cell>
          <cell r="D204" t="str">
            <v>SP.POP.TOTL</v>
          </cell>
          <cell r="E204">
            <v>1744199944</v>
          </cell>
          <cell r="F204">
            <v>1766393714</v>
          </cell>
          <cell r="G204">
            <v>1788388852</v>
          </cell>
        </row>
        <row r="205">
          <cell r="A205" t="str">
            <v>Saudi Arabia</v>
          </cell>
          <cell r="B205" t="str">
            <v>SAU</v>
          </cell>
          <cell r="C205" t="str">
            <v>Population, total</v>
          </cell>
          <cell r="D205" t="str">
            <v>SP.POP.TOTL</v>
          </cell>
          <cell r="E205">
            <v>31557144</v>
          </cell>
          <cell r="F205">
            <v>32275687</v>
          </cell>
          <cell r="G205">
            <v>32938213</v>
          </cell>
        </row>
        <row r="206">
          <cell r="A206" t="str">
            <v>Sudan</v>
          </cell>
          <cell r="B206" t="str">
            <v>SDN</v>
          </cell>
          <cell r="C206" t="str">
            <v>Population, total</v>
          </cell>
          <cell r="D206" t="str">
            <v>SP.POP.TOTL</v>
          </cell>
          <cell r="E206">
            <v>38647803</v>
          </cell>
          <cell r="F206">
            <v>39578828</v>
          </cell>
          <cell r="G206">
            <v>40533330</v>
          </cell>
        </row>
        <row r="207">
          <cell r="A207" t="str">
            <v>Senegal</v>
          </cell>
          <cell r="B207" t="str">
            <v>SEN</v>
          </cell>
          <cell r="C207" t="str">
            <v>Population, total</v>
          </cell>
          <cell r="D207" t="str">
            <v>SP.POP.TOTL</v>
          </cell>
          <cell r="E207">
            <v>14976994</v>
          </cell>
          <cell r="F207">
            <v>15411614</v>
          </cell>
          <cell r="G207">
            <v>15850567</v>
          </cell>
        </row>
        <row r="208">
          <cell r="A208" t="str">
            <v>Singapore</v>
          </cell>
          <cell r="B208" t="str">
            <v>SGP</v>
          </cell>
          <cell r="C208" t="str">
            <v>Population, total</v>
          </cell>
          <cell r="D208" t="str">
            <v>SP.POP.TOTL</v>
          </cell>
          <cell r="E208">
            <v>5535002</v>
          </cell>
          <cell r="F208">
            <v>5607283</v>
          </cell>
          <cell r="G208">
            <v>5612253</v>
          </cell>
        </row>
        <row r="209">
          <cell r="A209" t="str">
            <v>Solomon Islands</v>
          </cell>
          <cell r="B209" t="str">
            <v>SLB</v>
          </cell>
          <cell r="C209" t="str">
            <v>Population, total</v>
          </cell>
          <cell r="D209" t="str">
            <v>SP.POP.TOTL</v>
          </cell>
          <cell r="E209">
            <v>587482</v>
          </cell>
          <cell r="F209">
            <v>599419</v>
          </cell>
          <cell r="G209">
            <v>611343</v>
          </cell>
        </row>
        <row r="210">
          <cell r="A210" t="str">
            <v>Sierra Leone</v>
          </cell>
          <cell r="B210" t="str">
            <v>SLE</v>
          </cell>
          <cell r="C210" t="str">
            <v>Population, total</v>
          </cell>
          <cell r="D210" t="str">
            <v>SP.POP.TOTL</v>
          </cell>
          <cell r="E210">
            <v>7237025</v>
          </cell>
          <cell r="F210">
            <v>7396190</v>
          </cell>
          <cell r="G210">
            <v>7557212</v>
          </cell>
        </row>
        <row r="211">
          <cell r="A211" t="str">
            <v>El Salvador</v>
          </cell>
          <cell r="B211" t="str">
            <v>SLV</v>
          </cell>
          <cell r="C211" t="str">
            <v>Population, total</v>
          </cell>
          <cell r="D211" t="str">
            <v>SP.POP.TOTL</v>
          </cell>
          <cell r="E211">
            <v>6312478</v>
          </cell>
          <cell r="F211">
            <v>6344722</v>
          </cell>
          <cell r="G211">
            <v>6377853</v>
          </cell>
        </row>
        <row r="212">
          <cell r="A212" t="str">
            <v>San Marino</v>
          </cell>
          <cell r="B212" t="str">
            <v>SMR</v>
          </cell>
          <cell r="C212" t="str">
            <v>Population, total</v>
          </cell>
          <cell r="D212" t="str">
            <v>SP.POP.TOTL</v>
          </cell>
          <cell r="E212">
            <v>32960</v>
          </cell>
          <cell r="F212">
            <v>33203</v>
          </cell>
          <cell r="G212">
            <v>33400</v>
          </cell>
        </row>
        <row r="213">
          <cell r="A213" t="str">
            <v>Somalia</v>
          </cell>
          <cell r="B213" t="str">
            <v>SOM</v>
          </cell>
          <cell r="C213" t="str">
            <v>Population, total</v>
          </cell>
          <cell r="D213" t="str">
            <v>SP.POP.TOTL</v>
          </cell>
          <cell r="E213">
            <v>13908129</v>
          </cell>
          <cell r="F213">
            <v>14317996</v>
          </cell>
          <cell r="G213">
            <v>14742523</v>
          </cell>
        </row>
        <row r="214">
          <cell r="A214" t="str">
            <v>Serbia</v>
          </cell>
          <cell r="B214" t="str">
            <v>SRB</v>
          </cell>
          <cell r="C214" t="str">
            <v>Population, total</v>
          </cell>
          <cell r="D214" t="str">
            <v>SP.POP.TOTL</v>
          </cell>
          <cell r="E214">
            <v>7095383</v>
          </cell>
          <cell r="F214">
            <v>7058322</v>
          </cell>
          <cell r="G214">
            <v>7022268</v>
          </cell>
        </row>
        <row r="215">
          <cell r="A215" t="str">
            <v>Sub-Saharan Africa (excluding high income)</v>
          </cell>
          <cell r="B215" t="str">
            <v>SSA</v>
          </cell>
          <cell r="C215" t="str">
            <v>Population, total</v>
          </cell>
          <cell r="D215" t="str">
            <v>SP.POP.TOTL</v>
          </cell>
          <cell r="E215">
            <v>1005756630</v>
          </cell>
          <cell r="F215">
            <v>1033118066</v>
          </cell>
          <cell r="G215">
            <v>1061011878</v>
          </cell>
        </row>
        <row r="216">
          <cell r="A216" t="str">
            <v>South Sudan</v>
          </cell>
          <cell r="B216" t="str">
            <v>SSD</v>
          </cell>
          <cell r="C216" t="str">
            <v>Population, total</v>
          </cell>
          <cell r="D216" t="str">
            <v>SP.POP.TOTL</v>
          </cell>
          <cell r="E216">
            <v>11882136</v>
          </cell>
          <cell r="F216">
            <v>12230730</v>
          </cell>
          <cell r="G216">
            <v>12575714</v>
          </cell>
        </row>
        <row r="217">
          <cell r="A217" t="str">
            <v>Sub-Saharan Africa</v>
          </cell>
          <cell r="B217" t="str">
            <v>SSF</v>
          </cell>
          <cell r="C217" t="str">
            <v>Population, total</v>
          </cell>
          <cell r="D217" t="str">
            <v>SP.POP.TOTL</v>
          </cell>
          <cell r="E217">
            <v>1005850049</v>
          </cell>
          <cell r="F217">
            <v>1033212743</v>
          </cell>
          <cell r="G217">
            <v>1061107721</v>
          </cell>
        </row>
        <row r="218">
          <cell r="A218" t="str">
            <v>Small states</v>
          </cell>
          <cell r="B218" t="str">
            <v>SST</v>
          </cell>
          <cell r="C218" t="str">
            <v>Population, total</v>
          </cell>
          <cell r="D218" t="str">
            <v>SP.POP.TOTL</v>
          </cell>
          <cell r="E218">
            <v>38960406</v>
          </cell>
          <cell r="F218">
            <v>39646847</v>
          </cell>
          <cell r="G218">
            <v>40324496</v>
          </cell>
        </row>
        <row r="219">
          <cell r="A219" t="str">
            <v>Sao Tome and Principe</v>
          </cell>
          <cell r="B219" t="str">
            <v>STP</v>
          </cell>
          <cell r="C219" t="str">
            <v>Population, total</v>
          </cell>
          <cell r="D219" t="str">
            <v>SP.POP.TOTL</v>
          </cell>
          <cell r="E219">
            <v>195553</v>
          </cell>
          <cell r="F219">
            <v>199910</v>
          </cell>
          <cell r="G219">
            <v>204327</v>
          </cell>
        </row>
        <row r="220">
          <cell r="A220" t="str">
            <v>Suriname</v>
          </cell>
          <cell r="B220" t="str">
            <v>SUR</v>
          </cell>
          <cell r="C220" t="str">
            <v>Population, total</v>
          </cell>
          <cell r="D220" t="str">
            <v>SP.POP.TOTL</v>
          </cell>
          <cell r="E220">
            <v>553208</v>
          </cell>
          <cell r="F220">
            <v>558368</v>
          </cell>
          <cell r="G220">
            <v>563402</v>
          </cell>
        </row>
        <row r="221">
          <cell r="A221" t="str">
            <v>Slovak Republic</v>
          </cell>
          <cell r="B221" t="str">
            <v>SVK</v>
          </cell>
          <cell r="C221" t="str">
            <v>Population, total</v>
          </cell>
          <cell r="D221" t="str">
            <v>SP.POP.TOTL</v>
          </cell>
          <cell r="E221">
            <v>5423801</v>
          </cell>
          <cell r="F221">
            <v>5430798</v>
          </cell>
          <cell r="G221">
            <v>5439892</v>
          </cell>
        </row>
        <row r="222">
          <cell r="A222" t="str">
            <v>Slovenia</v>
          </cell>
          <cell r="B222" t="str">
            <v>SVN</v>
          </cell>
          <cell r="C222" t="str">
            <v>Population, total</v>
          </cell>
          <cell r="D222" t="str">
            <v>SP.POP.TOTL</v>
          </cell>
          <cell r="E222">
            <v>2063531</v>
          </cell>
          <cell r="F222">
            <v>2065042</v>
          </cell>
          <cell r="G222">
            <v>2066748</v>
          </cell>
        </row>
        <row r="223">
          <cell r="A223" t="str">
            <v>Sweden</v>
          </cell>
          <cell r="B223" t="str">
            <v>SWE</v>
          </cell>
          <cell r="C223" t="str">
            <v>Population, total</v>
          </cell>
          <cell r="D223" t="str">
            <v>SP.POP.TOTL</v>
          </cell>
          <cell r="E223">
            <v>9799186</v>
          </cell>
          <cell r="F223">
            <v>9923085</v>
          </cell>
          <cell r="G223">
            <v>10067744</v>
          </cell>
        </row>
        <row r="224">
          <cell r="A224" t="str">
            <v>Eswatini</v>
          </cell>
          <cell r="B224" t="str">
            <v>SWZ</v>
          </cell>
          <cell r="C224" t="str">
            <v>Population, total</v>
          </cell>
          <cell r="D224" t="str">
            <v>SP.POP.TOTL</v>
          </cell>
          <cell r="E224">
            <v>1319011</v>
          </cell>
          <cell r="F224">
            <v>1343098</v>
          </cell>
          <cell r="G224">
            <v>1367254</v>
          </cell>
        </row>
        <row r="225">
          <cell r="A225" t="str">
            <v>Sint Maarten (Dutch part)</v>
          </cell>
          <cell r="B225" t="str">
            <v>SXM</v>
          </cell>
          <cell r="C225" t="str">
            <v>Population, total</v>
          </cell>
          <cell r="D225" t="str">
            <v>SP.POP.TOTL</v>
          </cell>
          <cell r="E225">
            <v>38824</v>
          </cell>
          <cell r="F225">
            <v>39969</v>
          </cell>
          <cell r="G225">
            <v>41109</v>
          </cell>
        </row>
        <row r="226">
          <cell r="A226" t="str">
            <v>Seychelles</v>
          </cell>
          <cell r="B226" t="str">
            <v>SYC</v>
          </cell>
          <cell r="C226" t="str">
            <v>Population, total</v>
          </cell>
          <cell r="D226" t="str">
            <v>SP.POP.TOTL</v>
          </cell>
          <cell r="E226">
            <v>93419</v>
          </cell>
          <cell r="F226">
            <v>94677</v>
          </cell>
          <cell r="G226">
            <v>95843</v>
          </cell>
        </row>
        <row r="227">
          <cell r="A227" t="str">
            <v>Syrian Arab Republic</v>
          </cell>
          <cell r="B227" t="str">
            <v>SYR</v>
          </cell>
          <cell r="C227" t="str">
            <v>Population, total</v>
          </cell>
          <cell r="D227" t="str">
            <v>SP.POP.TOTL</v>
          </cell>
          <cell r="E227">
            <v>18734987</v>
          </cell>
          <cell r="F227">
            <v>18430453</v>
          </cell>
          <cell r="G227">
            <v>18269868</v>
          </cell>
        </row>
        <row r="228">
          <cell r="A228" t="str">
            <v>Turks and Caicos Islands</v>
          </cell>
          <cell r="B228" t="str">
            <v>TCA</v>
          </cell>
          <cell r="C228" t="str">
            <v>Population, total</v>
          </cell>
          <cell r="D228" t="str">
            <v>SP.POP.TOTL</v>
          </cell>
          <cell r="E228">
            <v>34339</v>
          </cell>
          <cell r="F228">
            <v>34900</v>
          </cell>
          <cell r="G228">
            <v>35446</v>
          </cell>
        </row>
        <row r="229">
          <cell r="A229" t="str">
            <v>Chad</v>
          </cell>
          <cell r="B229" t="str">
            <v>TCD</v>
          </cell>
          <cell r="C229" t="str">
            <v>Population, total</v>
          </cell>
          <cell r="D229" t="str">
            <v>SP.POP.TOTL</v>
          </cell>
          <cell r="E229">
            <v>14009413</v>
          </cell>
          <cell r="F229">
            <v>14452543</v>
          </cell>
          <cell r="G229">
            <v>14899994</v>
          </cell>
        </row>
        <row r="230">
          <cell r="A230" t="str">
            <v>East Asia &amp; Pacific (IDA &amp; IBRD countries)</v>
          </cell>
          <cell r="B230" t="str">
            <v>TEA</v>
          </cell>
          <cell r="C230" t="str">
            <v>Population, total</v>
          </cell>
          <cell r="D230" t="str">
            <v>SP.POP.TOTL</v>
          </cell>
          <cell r="E230">
            <v>2013132699</v>
          </cell>
          <cell r="F230">
            <v>2027896410</v>
          </cell>
          <cell r="G230">
            <v>2042783496</v>
          </cell>
        </row>
        <row r="231">
          <cell r="A231" t="str">
            <v>Europe &amp; Central Asia (IDA &amp; IBRD countries)</v>
          </cell>
          <cell r="B231" t="str">
            <v>TEC</v>
          </cell>
          <cell r="C231" t="str">
            <v>Population, total</v>
          </cell>
          <cell r="D231" t="str">
            <v>SP.POP.TOTL</v>
          </cell>
          <cell r="E231">
            <v>452960829</v>
          </cell>
          <cell r="F231">
            <v>455379371</v>
          </cell>
          <cell r="G231">
            <v>457647735</v>
          </cell>
        </row>
        <row r="232">
          <cell r="A232" t="str">
            <v>Togo</v>
          </cell>
          <cell r="B232" t="str">
            <v>TGO</v>
          </cell>
          <cell r="C232" t="str">
            <v>Population, total</v>
          </cell>
          <cell r="D232" t="str">
            <v>SP.POP.TOTL</v>
          </cell>
          <cell r="E232">
            <v>7416802</v>
          </cell>
          <cell r="F232">
            <v>7606374</v>
          </cell>
          <cell r="G232">
            <v>7797694</v>
          </cell>
        </row>
        <row r="233">
          <cell r="A233" t="str">
            <v>Thailand</v>
          </cell>
          <cell r="B233" t="str">
            <v>THA</v>
          </cell>
          <cell r="C233" t="str">
            <v>Population, total</v>
          </cell>
          <cell r="D233" t="str">
            <v>SP.POP.TOTL</v>
          </cell>
          <cell r="E233">
            <v>68657600</v>
          </cell>
          <cell r="F233">
            <v>68863514</v>
          </cell>
          <cell r="G233">
            <v>69037513</v>
          </cell>
        </row>
        <row r="234">
          <cell r="A234" t="str">
            <v>Tajikistan</v>
          </cell>
          <cell r="B234" t="str">
            <v>TJK</v>
          </cell>
          <cell r="C234" t="str">
            <v>Population, total</v>
          </cell>
          <cell r="D234" t="str">
            <v>SP.POP.TOTL</v>
          </cell>
          <cell r="E234">
            <v>8548651</v>
          </cell>
          <cell r="F234">
            <v>8734951</v>
          </cell>
          <cell r="G234">
            <v>8921343</v>
          </cell>
        </row>
        <row r="235">
          <cell r="A235" t="str">
            <v>Turkmenistan</v>
          </cell>
          <cell r="B235" t="str">
            <v>TKM</v>
          </cell>
          <cell r="C235" t="str">
            <v>Population, total</v>
          </cell>
          <cell r="D235" t="str">
            <v>SP.POP.TOTL</v>
          </cell>
          <cell r="E235">
            <v>5565284</v>
          </cell>
          <cell r="F235">
            <v>5662544</v>
          </cell>
          <cell r="G235">
            <v>5758075</v>
          </cell>
        </row>
        <row r="236">
          <cell r="A236" t="str">
            <v>Latin America &amp; the Caribbean (IDA &amp; IBRD countries)</v>
          </cell>
          <cell r="B236" t="str">
            <v>TLA</v>
          </cell>
          <cell r="C236" t="str">
            <v>Population, total</v>
          </cell>
          <cell r="D236" t="str">
            <v>SP.POP.TOTL</v>
          </cell>
          <cell r="E236">
            <v>614891969</v>
          </cell>
          <cell r="F236">
            <v>621534921</v>
          </cell>
          <cell r="G236">
            <v>628059792</v>
          </cell>
        </row>
        <row r="237">
          <cell r="A237" t="str">
            <v>Timor-Leste</v>
          </cell>
          <cell r="B237" t="str">
            <v>TLS</v>
          </cell>
          <cell r="C237" t="str">
            <v>Population, total</v>
          </cell>
          <cell r="D237" t="str">
            <v>SP.POP.TOTL</v>
          </cell>
          <cell r="E237">
            <v>1240977</v>
          </cell>
          <cell r="F237">
            <v>1268671</v>
          </cell>
          <cell r="G237">
            <v>1296311</v>
          </cell>
        </row>
        <row r="238">
          <cell r="A238" t="str">
            <v>Middle East &amp; North Africa (IDA &amp; IBRD countries)</v>
          </cell>
          <cell r="B238" t="str">
            <v>TMN</v>
          </cell>
          <cell r="C238" t="str">
            <v>Population, total</v>
          </cell>
          <cell r="D238" t="str">
            <v>SP.POP.TOTL</v>
          </cell>
          <cell r="E238">
            <v>363027163</v>
          </cell>
          <cell r="F238">
            <v>369167489</v>
          </cell>
          <cell r="G238">
            <v>375217005</v>
          </cell>
        </row>
        <row r="239">
          <cell r="A239" t="str">
            <v>Tonga</v>
          </cell>
          <cell r="B239" t="str">
            <v>TON</v>
          </cell>
          <cell r="C239" t="str">
            <v>Population, total</v>
          </cell>
          <cell r="D239" t="str">
            <v>SP.POP.TOTL</v>
          </cell>
          <cell r="E239">
            <v>106364</v>
          </cell>
          <cell r="F239">
            <v>107122</v>
          </cell>
          <cell r="G239">
            <v>108020</v>
          </cell>
        </row>
        <row r="240">
          <cell r="A240" t="str">
            <v>South Asia (IDA &amp; IBRD)</v>
          </cell>
          <cell r="B240" t="str">
            <v>TSA</v>
          </cell>
          <cell r="C240" t="str">
            <v>Population, total</v>
          </cell>
          <cell r="D240" t="str">
            <v>SP.POP.TOTL</v>
          </cell>
          <cell r="E240">
            <v>1744199944</v>
          </cell>
          <cell r="F240">
            <v>1766393714</v>
          </cell>
          <cell r="G240">
            <v>1788388852</v>
          </cell>
        </row>
        <row r="241">
          <cell r="A241" t="str">
            <v>Sub-Saharan Africa (IDA &amp; IBRD countries)</v>
          </cell>
          <cell r="B241" t="str">
            <v>TSS</v>
          </cell>
          <cell r="C241" t="str">
            <v>Population, total</v>
          </cell>
          <cell r="D241" t="str">
            <v>SP.POP.TOTL</v>
          </cell>
          <cell r="E241">
            <v>1005850049</v>
          </cell>
          <cell r="F241">
            <v>1033212743</v>
          </cell>
          <cell r="G241">
            <v>1061107721</v>
          </cell>
        </row>
        <row r="242">
          <cell r="A242" t="str">
            <v>Trinidad and Tobago</v>
          </cell>
          <cell r="B242" t="str">
            <v>TTO</v>
          </cell>
          <cell r="C242" t="str">
            <v>Population, total</v>
          </cell>
          <cell r="D242" t="str">
            <v>SP.POP.TOTL</v>
          </cell>
          <cell r="E242">
            <v>1360092</v>
          </cell>
          <cell r="F242">
            <v>1364962</v>
          </cell>
          <cell r="G242">
            <v>1369125</v>
          </cell>
        </row>
        <row r="243">
          <cell r="A243" t="str">
            <v>Tunisia</v>
          </cell>
          <cell r="B243" t="str">
            <v>TUN</v>
          </cell>
          <cell r="C243" t="str">
            <v>Population, total</v>
          </cell>
          <cell r="D243" t="str">
            <v>SP.POP.TOTL</v>
          </cell>
          <cell r="E243">
            <v>11273661</v>
          </cell>
          <cell r="F243">
            <v>11403248</v>
          </cell>
          <cell r="G243">
            <v>11532127</v>
          </cell>
        </row>
        <row r="244">
          <cell r="A244" t="str">
            <v>Turkey</v>
          </cell>
          <cell r="B244" t="str">
            <v>TUR</v>
          </cell>
          <cell r="C244" t="str">
            <v>Population, total</v>
          </cell>
          <cell r="D244" t="str">
            <v>SP.POP.TOTL</v>
          </cell>
          <cell r="E244">
            <v>78271472</v>
          </cell>
          <cell r="F244">
            <v>79512426</v>
          </cell>
          <cell r="G244">
            <v>80745020</v>
          </cell>
        </row>
        <row r="245">
          <cell r="A245" t="str">
            <v>Tuvalu</v>
          </cell>
          <cell r="B245" t="str">
            <v>TUV</v>
          </cell>
          <cell r="C245" t="str">
            <v>Population, total</v>
          </cell>
          <cell r="D245" t="str">
            <v>SP.POP.TOTL</v>
          </cell>
          <cell r="E245">
            <v>11001</v>
          </cell>
          <cell r="F245">
            <v>11097</v>
          </cell>
          <cell r="G245">
            <v>11192</v>
          </cell>
        </row>
        <row r="246">
          <cell r="A246" t="str">
            <v>Tanzania</v>
          </cell>
          <cell r="B246" t="str">
            <v>TZA</v>
          </cell>
          <cell r="C246" t="str">
            <v>Population, total</v>
          </cell>
          <cell r="D246" t="str">
            <v>SP.POP.TOTL</v>
          </cell>
          <cell r="E246">
            <v>53879957</v>
          </cell>
          <cell r="F246">
            <v>55572201</v>
          </cell>
          <cell r="G246">
            <v>57310019</v>
          </cell>
        </row>
        <row r="247">
          <cell r="A247" t="str">
            <v>Uganda</v>
          </cell>
          <cell r="B247" t="str">
            <v>UGA</v>
          </cell>
          <cell r="C247" t="str">
            <v>Population, total</v>
          </cell>
          <cell r="D247" t="str">
            <v>SP.POP.TOTL</v>
          </cell>
          <cell r="E247">
            <v>40144870</v>
          </cell>
          <cell r="F247">
            <v>41487965</v>
          </cell>
          <cell r="G247">
            <v>42862958</v>
          </cell>
        </row>
        <row r="248">
          <cell r="A248" t="str">
            <v>Ukraine</v>
          </cell>
          <cell r="B248" t="str">
            <v>UKR</v>
          </cell>
          <cell r="C248" t="str">
            <v>Population, total</v>
          </cell>
          <cell r="D248" t="str">
            <v>SP.POP.TOTL</v>
          </cell>
          <cell r="E248">
            <v>45154029</v>
          </cell>
          <cell r="F248">
            <v>45004645</v>
          </cell>
          <cell r="G248">
            <v>44831159</v>
          </cell>
        </row>
        <row r="249">
          <cell r="A249" t="str">
            <v>Upper middle income</v>
          </cell>
          <cell r="B249" t="str">
            <v>UMC</v>
          </cell>
          <cell r="C249" t="str">
            <v>Population, total</v>
          </cell>
          <cell r="D249" t="str">
            <v>SP.POP.TOTL</v>
          </cell>
          <cell r="E249">
            <v>2537437057</v>
          </cell>
          <cell r="F249">
            <v>2556921923</v>
          </cell>
          <cell r="G249">
            <v>2576202556</v>
          </cell>
        </row>
        <row r="250">
          <cell r="A250" t="str">
            <v>Uruguay</v>
          </cell>
          <cell r="B250" t="str">
            <v>URY</v>
          </cell>
          <cell r="C250" t="str">
            <v>Population, total</v>
          </cell>
          <cell r="D250" t="str">
            <v>SP.POP.TOTL</v>
          </cell>
          <cell r="E250">
            <v>3431552</v>
          </cell>
          <cell r="F250">
            <v>3444006</v>
          </cell>
          <cell r="G250">
            <v>3456750</v>
          </cell>
        </row>
        <row r="251">
          <cell r="A251" t="str">
            <v>United States</v>
          </cell>
          <cell r="B251" t="str">
            <v>USA</v>
          </cell>
          <cell r="C251" t="str">
            <v>Population, total</v>
          </cell>
          <cell r="D251" t="str">
            <v>SP.POP.TOTL</v>
          </cell>
          <cell r="E251">
            <v>321039839</v>
          </cell>
          <cell r="F251">
            <v>323405935</v>
          </cell>
          <cell r="G251">
            <v>325719178</v>
          </cell>
        </row>
        <row r="252">
          <cell r="A252" t="str">
            <v>Uzbekistan</v>
          </cell>
          <cell r="B252" t="str">
            <v>UZB</v>
          </cell>
          <cell r="C252" t="str">
            <v>Population, total</v>
          </cell>
          <cell r="D252" t="str">
            <v>SP.POP.TOTL</v>
          </cell>
          <cell r="E252">
            <v>31298900</v>
          </cell>
          <cell r="F252">
            <v>31847900</v>
          </cell>
          <cell r="G252">
            <v>32387200</v>
          </cell>
        </row>
        <row r="253">
          <cell r="A253" t="str">
            <v>St. Vincent and the Grenadines</v>
          </cell>
          <cell r="B253" t="str">
            <v>VCT</v>
          </cell>
          <cell r="C253" t="str">
            <v>Population, total</v>
          </cell>
          <cell r="D253" t="str">
            <v>SP.POP.TOTL</v>
          </cell>
          <cell r="E253">
            <v>109455</v>
          </cell>
          <cell r="F253">
            <v>109643</v>
          </cell>
          <cell r="G253">
            <v>109897</v>
          </cell>
        </row>
        <row r="254">
          <cell r="A254" t="str">
            <v>Venezuela, RB</v>
          </cell>
          <cell r="B254" t="str">
            <v>VEN</v>
          </cell>
          <cell r="C254" t="str">
            <v>Population, total</v>
          </cell>
          <cell r="D254" t="str">
            <v>SP.POP.TOTL</v>
          </cell>
          <cell r="E254">
            <v>31155134</v>
          </cell>
          <cell r="F254">
            <v>31568179</v>
          </cell>
          <cell r="G254">
            <v>31977065</v>
          </cell>
        </row>
        <row r="255">
          <cell r="A255" t="str">
            <v>British Virgin Islands</v>
          </cell>
          <cell r="B255" t="str">
            <v>VGB</v>
          </cell>
          <cell r="C255" t="str">
            <v>Population, total</v>
          </cell>
          <cell r="D255" t="str">
            <v>SP.POP.TOTL</v>
          </cell>
          <cell r="E255">
            <v>30113</v>
          </cell>
          <cell r="F255">
            <v>30661</v>
          </cell>
          <cell r="G255">
            <v>31196</v>
          </cell>
        </row>
        <row r="256">
          <cell r="A256" t="str">
            <v>Virgin Islands (U.S.)</v>
          </cell>
          <cell r="B256" t="str">
            <v>VIR</v>
          </cell>
          <cell r="C256" t="str">
            <v>Population, total</v>
          </cell>
          <cell r="D256" t="str">
            <v>SP.POP.TOTL</v>
          </cell>
          <cell r="E256">
            <v>107710</v>
          </cell>
          <cell r="F256">
            <v>107510</v>
          </cell>
          <cell r="G256">
            <v>107268</v>
          </cell>
        </row>
        <row r="257">
          <cell r="A257" t="str">
            <v>Vietnam</v>
          </cell>
          <cell r="B257" t="str">
            <v>VNM</v>
          </cell>
          <cell r="C257" t="str">
            <v>Population, total</v>
          </cell>
          <cell r="D257" t="str">
            <v>SP.POP.TOTL</v>
          </cell>
          <cell r="E257">
            <v>93571567</v>
          </cell>
          <cell r="F257">
            <v>94569072</v>
          </cell>
          <cell r="G257">
            <v>95540800</v>
          </cell>
        </row>
        <row r="258">
          <cell r="A258" t="str">
            <v>Vanuatu</v>
          </cell>
          <cell r="B258" t="str">
            <v>VUT</v>
          </cell>
          <cell r="C258" t="str">
            <v>Population, total</v>
          </cell>
          <cell r="D258" t="str">
            <v>SP.POP.TOTL</v>
          </cell>
          <cell r="E258">
            <v>264603</v>
          </cell>
          <cell r="F258">
            <v>270402</v>
          </cell>
          <cell r="G258">
            <v>276244</v>
          </cell>
        </row>
        <row r="259">
          <cell r="A259" t="str">
            <v>World</v>
          </cell>
          <cell r="B259" t="str">
            <v>WLD</v>
          </cell>
          <cell r="C259" t="str">
            <v>Population, total</v>
          </cell>
          <cell r="D259" t="str">
            <v>SP.POP.TOTL</v>
          </cell>
          <cell r="E259">
            <v>7357559450</v>
          </cell>
          <cell r="F259">
            <v>7444157356</v>
          </cell>
          <cell r="G259">
            <v>7530360149</v>
          </cell>
        </row>
        <row r="260">
          <cell r="A260" t="str">
            <v>Samoa</v>
          </cell>
          <cell r="B260" t="str">
            <v>WSM</v>
          </cell>
          <cell r="C260" t="str">
            <v>Population, total</v>
          </cell>
          <cell r="D260" t="str">
            <v>SP.POP.TOTL</v>
          </cell>
          <cell r="E260">
            <v>193759</v>
          </cell>
          <cell r="F260">
            <v>195125</v>
          </cell>
          <cell r="G260">
            <v>196440</v>
          </cell>
        </row>
        <row r="261">
          <cell r="A261" t="str">
            <v>Kosovo</v>
          </cell>
          <cell r="B261" t="str">
            <v>XKX</v>
          </cell>
          <cell r="C261" t="str">
            <v>Population, total</v>
          </cell>
          <cell r="D261" t="str">
            <v>SP.POP.TOTL</v>
          </cell>
          <cell r="E261">
            <v>1801800</v>
          </cell>
          <cell r="F261">
            <v>1816200</v>
          </cell>
          <cell r="G261">
            <v>1830700</v>
          </cell>
        </row>
        <row r="262">
          <cell r="A262" t="str">
            <v>Yemen, Rep.</v>
          </cell>
          <cell r="B262" t="str">
            <v>YEM</v>
          </cell>
          <cell r="C262" t="str">
            <v>Population, total</v>
          </cell>
          <cell r="D262" t="str">
            <v>SP.POP.TOTL</v>
          </cell>
          <cell r="E262">
            <v>26916207</v>
          </cell>
          <cell r="F262">
            <v>27584213</v>
          </cell>
          <cell r="G262">
            <v>28250420</v>
          </cell>
        </row>
        <row r="263">
          <cell r="A263" t="str">
            <v>South Africa</v>
          </cell>
          <cell r="B263" t="str">
            <v>ZAF</v>
          </cell>
          <cell r="C263" t="str">
            <v>Population, total</v>
          </cell>
          <cell r="D263" t="str">
            <v>SP.POP.TOTL</v>
          </cell>
          <cell r="E263">
            <v>55291225</v>
          </cell>
          <cell r="F263">
            <v>56015473</v>
          </cell>
          <cell r="G263">
            <v>56717156</v>
          </cell>
        </row>
        <row r="264">
          <cell r="A264" t="str">
            <v>Zambia</v>
          </cell>
          <cell r="B264" t="str">
            <v>ZMB</v>
          </cell>
          <cell r="C264" t="str">
            <v>Population, total</v>
          </cell>
          <cell r="D264" t="str">
            <v>SP.POP.TOTL</v>
          </cell>
          <cell r="E264">
            <v>16100587</v>
          </cell>
          <cell r="F264">
            <v>16591390</v>
          </cell>
          <cell r="G264">
            <v>17094130</v>
          </cell>
        </row>
        <row r="265">
          <cell r="A265" t="str">
            <v>Zimbabwe</v>
          </cell>
          <cell r="B265" t="str">
            <v>ZWE</v>
          </cell>
          <cell r="C265" t="str">
            <v>Population, total</v>
          </cell>
          <cell r="D265" t="str">
            <v>SP.POP.TOTL</v>
          </cell>
          <cell r="E265">
            <v>15777451</v>
          </cell>
          <cell r="F265">
            <v>16150362</v>
          </cell>
          <cell r="G265">
            <v>16529904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90"/>
  <sheetViews>
    <sheetView workbookViewId="0">
      <selection sqref="A1:XFD1048576"/>
    </sheetView>
  </sheetViews>
  <sheetFormatPr baseColWidth="10" defaultRowHeight="16" x14ac:dyDescent="0.2"/>
  <cols>
    <col min="1" max="1" width="27" bestFit="1" customWidth="1"/>
    <col min="6" max="6" width="14.6640625" bestFit="1" customWidth="1"/>
    <col min="7" max="7" width="9.5" bestFit="1" customWidth="1"/>
    <col min="8" max="8" width="8.6640625" bestFit="1" customWidth="1"/>
    <col min="9" max="9" width="12.83203125" bestFit="1" customWidth="1"/>
    <col min="10" max="10" width="10.6640625" bestFit="1" customWidth="1"/>
    <col min="11" max="11" width="12.1640625" bestFit="1" customWidth="1"/>
    <col min="12" max="12" width="13.83203125" bestFit="1" customWidth="1"/>
    <col min="13" max="13" width="12.16406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195</v>
      </c>
      <c r="G1" t="s">
        <v>196</v>
      </c>
      <c r="H1" t="s">
        <v>197</v>
      </c>
      <c r="I1" t="s">
        <v>198</v>
      </c>
      <c r="J1" t="s">
        <v>199</v>
      </c>
      <c r="K1" t="s">
        <v>200</v>
      </c>
      <c r="L1" t="s">
        <v>205</v>
      </c>
      <c r="M1" t="s">
        <v>202</v>
      </c>
    </row>
    <row r="2" spans="1:13" x14ac:dyDescent="0.2">
      <c r="A2" t="s">
        <v>5</v>
      </c>
      <c r="B2">
        <v>183</v>
      </c>
      <c r="C2">
        <v>2275</v>
      </c>
      <c r="D2">
        <v>84</v>
      </c>
      <c r="E2" t="s">
        <v>6</v>
      </c>
      <c r="F2" t="str">
        <f>IFERROR(VLOOKUP($A2,[1]data!$A$2:$G$50,2,FALSE),"nodata")</f>
        <v>nodata</v>
      </c>
      <c r="G2" t="str">
        <f>IFERROR(VLOOKUP($A2,[1]data!$A$2:$G$50,3,FALSE),"nodata")</f>
        <v>nodata</v>
      </c>
      <c r="H2" t="str">
        <f>IFERROR(VLOOKUP($A2,[1]data!$A$2:$G$50,4,FALSE),"nodata")</f>
        <v>nodata</v>
      </c>
      <c r="I2" t="str">
        <f>IFERROR(VLOOKUP($A2,[1]data!$A$2:$G$50,5,FALSE),"nodata")</f>
        <v>nodata</v>
      </c>
      <c r="J2" t="str">
        <f>IFERROR(VLOOKUP($A2,[1]data!$A$2:$G$50,6,FALSE),"nodata")</f>
        <v>nodata</v>
      </c>
      <c r="K2" t="str">
        <f>IFERROR(VLOOKUP($A2,[1]data!$A$2:$G$50,7,FALSE),"nodata")</f>
        <v>nodata</v>
      </c>
      <c r="L2">
        <f>VLOOKUP(A2,[2]Sheet1!$A$2:$G$265,7,FALSE)</f>
        <v>35530081</v>
      </c>
      <c r="M2" t="str">
        <f>IFERROR(J2/L2,"nodata")</f>
        <v>nodata</v>
      </c>
    </row>
    <row r="3" spans="1:13" x14ac:dyDescent="0.2">
      <c r="A3" t="s">
        <v>7</v>
      </c>
      <c r="B3">
        <v>58</v>
      </c>
      <c r="C3">
        <v>516</v>
      </c>
      <c r="D3">
        <v>100</v>
      </c>
      <c r="E3" t="s">
        <v>6</v>
      </c>
      <c r="F3" t="str">
        <f>IFERROR(VLOOKUP($A3,[1]data!$A$2:$G$50,2,FALSE),"nodata")</f>
        <v>nodata</v>
      </c>
      <c r="G3" t="str">
        <f>IFERROR(VLOOKUP($A3,[1]data!$A$2:$G$50,3,FALSE),"nodata")</f>
        <v>nodata</v>
      </c>
      <c r="H3" t="str">
        <f>IFERROR(VLOOKUP($A3,[1]data!$A$2:$G$50,4,FALSE),"nodata")</f>
        <v>nodata</v>
      </c>
      <c r="I3" t="str">
        <f>IFERROR(VLOOKUP($A3,[1]data!$A$2:$G$50,5,FALSE),"nodata")</f>
        <v>nodata</v>
      </c>
      <c r="J3" t="str">
        <f>IFERROR(VLOOKUP($A3,[1]data!$A$2:$G$50,6,FALSE),"nodata")</f>
        <v>nodata</v>
      </c>
      <c r="K3" t="str">
        <f>IFERROR(VLOOKUP($A3,[1]data!$A$2:$G$50,7,FALSE),"nodata")</f>
        <v>nodata</v>
      </c>
      <c r="L3">
        <f>VLOOKUP(A3,[2]Sheet1!$A$2:$G$265,7,FALSE)</f>
        <v>2873457</v>
      </c>
      <c r="M3" t="str">
        <f t="shared" ref="M3:M66" si="0">IFERROR(J3/L3,"nodata")</f>
        <v>nodata</v>
      </c>
    </row>
    <row r="4" spans="1:13" x14ac:dyDescent="0.2">
      <c r="A4" t="s">
        <v>8</v>
      </c>
      <c r="B4">
        <v>156</v>
      </c>
      <c r="C4">
        <v>1330</v>
      </c>
      <c r="D4">
        <v>99</v>
      </c>
      <c r="E4" t="s">
        <v>6</v>
      </c>
      <c r="F4">
        <f>IFERROR(VLOOKUP($A4,[1]data!$A$2:$G$50,2,FALSE),"nodata")</f>
        <v>2316559</v>
      </c>
      <c r="G4">
        <f>IFERROR(VLOOKUP($A4,[1]data!$A$2:$G$50,3,FALSE),"nodata")</f>
        <v>26530</v>
      </c>
      <c r="H4">
        <f>IFERROR(VLOOKUP($A4,[1]data!$A$2:$G$50,4,FALSE),"nodata")</f>
        <v>27904</v>
      </c>
      <c r="I4">
        <f>IFERROR(VLOOKUP($A4,[1]data!$A$2:$G$50,5,FALSE),"nodata")</f>
        <v>30155</v>
      </c>
      <c r="J4">
        <f>IFERROR(VLOOKUP($A4,[1]data!$A$2:$G$50,6,FALSE),"nodata")</f>
        <v>84589</v>
      </c>
      <c r="K4">
        <f>IFERROR(VLOOKUP($A4,[1]data!$A$2:$G$50,7,FALSE),"nodata")</f>
        <v>3.6514934435082379E-2</v>
      </c>
      <c r="L4">
        <f>VLOOKUP(A4,[2]Sheet1!$A$2:$G$265,7,FALSE)</f>
        <v>41318142</v>
      </c>
      <c r="M4">
        <f t="shared" si="0"/>
        <v>2.0472604987900956E-3</v>
      </c>
    </row>
    <row r="5" spans="1:13" x14ac:dyDescent="0.2">
      <c r="A5" t="s">
        <v>9</v>
      </c>
      <c r="B5">
        <v>182</v>
      </c>
      <c r="C5">
        <v>1197</v>
      </c>
      <c r="D5">
        <v>41</v>
      </c>
      <c r="E5" t="s">
        <v>10</v>
      </c>
      <c r="F5">
        <f>IFERROR(VLOOKUP($A5,[1]data!$A$2:$G$50,2,FALSE),"nodata")</f>
        <v>1247357</v>
      </c>
      <c r="G5">
        <f>IFERROR(VLOOKUP($A5,[1]data!$A$2:$G$50,3,FALSE),"nodata")</f>
        <v>9786</v>
      </c>
      <c r="H5">
        <f>IFERROR(VLOOKUP($A5,[1]data!$A$2:$G$50,4,FALSE),"nodata")</f>
        <v>13319</v>
      </c>
      <c r="I5">
        <f>IFERROR(VLOOKUP($A5,[1]data!$A$2:$G$50,5,FALSE),"nodata")</f>
        <v>202</v>
      </c>
      <c r="J5">
        <f>IFERROR(VLOOKUP($A5,[1]data!$A$2:$G$50,6,FALSE),"nodata")</f>
        <v>23307</v>
      </c>
      <c r="K5">
        <f>IFERROR(VLOOKUP($A5,[1]data!$A$2:$G$50,7,FALSE),"nodata")</f>
        <v>1.8685107791915227E-2</v>
      </c>
      <c r="L5">
        <f>VLOOKUP(A5,[2]Sheet1!$A$2:$G$265,7,FALSE)</f>
        <v>29784193</v>
      </c>
      <c r="M5">
        <f t="shared" si="0"/>
        <v>7.8252917579469078E-4</v>
      </c>
    </row>
    <row r="6" spans="1:13" x14ac:dyDescent="0.2">
      <c r="A6" t="s">
        <v>11</v>
      </c>
      <c r="B6">
        <v>113</v>
      </c>
      <c r="C6">
        <v>118</v>
      </c>
      <c r="D6">
        <v>97</v>
      </c>
      <c r="E6" t="s">
        <v>6</v>
      </c>
      <c r="F6" t="str">
        <f>IFERROR(VLOOKUP($A6,[1]data!$A$2:$G$50,2,FALSE),"nodata")</f>
        <v>nodata</v>
      </c>
      <c r="G6" t="str">
        <f>IFERROR(VLOOKUP($A6,[1]data!$A$2:$G$50,3,FALSE),"nodata")</f>
        <v>nodata</v>
      </c>
      <c r="H6" t="str">
        <f>IFERROR(VLOOKUP($A6,[1]data!$A$2:$G$50,4,FALSE),"nodata")</f>
        <v>nodata</v>
      </c>
      <c r="I6" t="str">
        <f>IFERROR(VLOOKUP($A6,[1]data!$A$2:$G$50,5,FALSE),"nodata")</f>
        <v>nodata</v>
      </c>
      <c r="J6" t="str">
        <f>IFERROR(VLOOKUP($A6,[1]data!$A$2:$G$50,6,FALSE),"nodata")</f>
        <v>nodata</v>
      </c>
      <c r="K6" t="str">
        <f>IFERROR(VLOOKUP($A6,[1]data!$A$2:$G$50,7,FALSE),"nodata")</f>
        <v>nodata</v>
      </c>
      <c r="L6">
        <f>VLOOKUP(A6,[2]Sheet1!$A$2:$G$265,7,FALSE)</f>
        <v>102012</v>
      </c>
      <c r="M6" t="str">
        <f t="shared" si="0"/>
        <v>nodata</v>
      </c>
    </row>
    <row r="7" spans="1:13" x14ac:dyDescent="0.2">
      <c r="A7" t="s">
        <v>12</v>
      </c>
      <c r="B7">
        <v>116</v>
      </c>
      <c r="C7">
        <v>32</v>
      </c>
      <c r="D7">
        <v>100</v>
      </c>
      <c r="E7" t="s">
        <v>6</v>
      </c>
      <c r="F7" t="str">
        <f>IFERROR(VLOOKUP($A7,[1]data!$A$2:$G$50,2,FALSE),"nodata")</f>
        <v>nodata</v>
      </c>
      <c r="G7" t="str">
        <f>IFERROR(VLOOKUP($A7,[1]data!$A$2:$G$50,3,FALSE),"nodata")</f>
        <v>nodata</v>
      </c>
      <c r="H7" t="str">
        <f>IFERROR(VLOOKUP($A7,[1]data!$A$2:$G$50,4,FALSE),"nodata")</f>
        <v>nodata</v>
      </c>
      <c r="I7" t="str">
        <f>IFERROR(VLOOKUP($A7,[1]data!$A$2:$G$50,5,FALSE),"nodata")</f>
        <v>nodata</v>
      </c>
      <c r="J7" t="str">
        <f>IFERROR(VLOOKUP($A7,[1]data!$A$2:$G$50,6,FALSE),"nodata")</f>
        <v>nodata</v>
      </c>
      <c r="K7" t="str">
        <f>IFERROR(VLOOKUP($A7,[1]data!$A$2:$G$50,7,FALSE),"nodata")</f>
        <v>nodata</v>
      </c>
      <c r="L7">
        <f>VLOOKUP(A7,[2]Sheet1!$A$2:$G$265,7,FALSE)</f>
        <v>44271041</v>
      </c>
      <c r="M7" t="str">
        <f t="shared" si="0"/>
        <v>nodata</v>
      </c>
    </row>
    <row r="8" spans="1:13" x14ac:dyDescent="0.2">
      <c r="A8" t="s">
        <v>13</v>
      </c>
      <c r="B8">
        <v>38</v>
      </c>
      <c r="C8">
        <v>80</v>
      </c>
      <c r="D8">
        <v>100</v>
      </c>
      <c r="E8" t="s">
        <v>6</v>
      </c>
      <c r="F8" t="str">
        <f>IFERROR(VLOOKUP($A8,[1]data!$A$2:$G$50,2,FALSE),"nodata")</f>
        <v>nodata</v>
      </c>
      <c r="G8" t="str">
        <f>IFERROR(VLOOKUP($A8,[1]data!$A$2:$G$50,3,FALSE),"nodata")</f>
        <v>nodata</v>
      </c>
      <c r="H8" t="str">
        <f>IFERROR(VLOOKUP($A8,[1]data!$A$2:$G$50,4,FALSE),"nodata")</f>
        <v>nodata</v>
      </c>
      <c r="I8" t="str">
        <f>IFERROR(VLOOKUP($A8,[1]data!$A$2:$G$50,5,FALSE),"nodata")</f>
        <v>nodata</v>
      </c>
      <c r="J8" t="str">
        <f>IFERROR(VLOOKUP($A8,[1]data!$A$2:$G$50,6,FALSE),"nodata")</f>
        <v>nodata</v>
      </c>
      <c r="K8" t="str">
        <f>IFERROR(VLOOKUP($A8,[1]data!$A$2:$G$50,7,FALSE),"nodata")</f>
        <v>nodata</v>
      </c>
      <c r="L8">
        <f>VLOOKUP(A8,[2]Sheet1!$A$2:$G$265,7,FALSE)</f>
        <v>2930450</v>
      </c>
      <c r="M8" t="str">
        <f t="shared" si="0"/>
        <v>nodata</v>
      </c>
    </row>
    <row r="9" spans="1:13" x14ac:dyDescent="0.2">
      <c r="A9" t="s">
        <v>14</v>
      </c>
      <c r="B9">
        <v>15</v>
      </c>
      <c r="C9">
        <v>13</v>
      </c>
      <c r="D9">
        <v>100</v>
      </c>
      <c r="E9" t="s">
        <v>6</v>
      </c>
      <c r="F9" t="str">
        <f>IFERROR(VLOOKUP($A9,[1]data!$A$2:$G$50,2,FALSE),"nodata")</f>
        <v>nodata</v>
      </c>
      <c r="G9" t="str">
        <f>IFERROR(VLOOKUP($A9,[1]data!$A$2:$G$50,3,FALSE),"nodata")</f>
        <v>nodata</v>
      </c>
      <c r="H9" t="str">
        <f>IFERROR(VLOOKUP($A9,[1]data!$A$2:$G$50,4,FALSE),"nodata")</f>
        <v>nodata</v>
      </c>
      <c r="I9" t="str">
        <f>IFERROR(VLOOKUP($A9,[1]data!$A$2:$G$50,5,FALSE),"nodata")</f>
        <v>nodata</v>
      </c>
      <c r="J9" t="str">
        <f>IFERROR(VLOOKUP($A9,[1]data!$A$2:$G$50,6,FALSE),"nodata")</f>
        <v>nodata</v>
      </c>
      <c r="K9" t="str">
        <f>IFERROR(VLOOKUP($A9,[1]data!$A$2:$G$50,7,FALSE),"nodata")</f>
        <v>nodata</v>
      </c>
      <c r="L9">
        <f>VLOOKUP(A9,[2]Sheet1!$A$2:$G$265,7,FALSE)</f>
        <v>24598933</v>
      </c>
      <c r="M9" t="str">
        <f t="shared" si="0"/>
        <v>nodata</v>
      </c>
    </row>
    <row r="10" spans="1:13" x14ac:dyDescent="0.2">
      <c r="A10" t="s">
        <v>15</v>
      </c>
      <c r="B10">
        <v>19</v>
      </c>
      <c r="C10">
        <v>96</v>
      </c>
      <c r="D10">
        <v>100</v>
      </c>
      <c r="E10" t="s">
        <v>6</v>
      </c>
      <c r="F10" t="str">
        <f>IFERROR(VLOOKUP($A10,[1]data!$A$2:$G$50,2,FALSE),"nodata")</f>
        <v>nodata</v>
      </c>
      <c r="G10" t="str">
        <f>IFERROR(VLOOKUP($A10,[1]data!$A$2:$G$50,3,FALSE),"nodata")</f>
        <v>nodata</v>
      </c>
      <c r="H10" t="str">
        <f>IFERROR(VLOOKUP($A10,[1]data!$A$2:$G$50,4,FALSE),"nodata")</f>
        <v>nodata</v>
      </c>
      <c r="I10" t="str">
        <f>IFERROR(VLOOKUP($A10,[1]data!$A$2:$G$50,5,FALSE),"nodata")</f>
        <v>nodata</v>
      </c>
      <c r="J10" t="str">
        <f>IFERROR(VLOOKUP($A10,[1]data!$A$2:$G$50,6,FALSE),"nodata")</f>
        <v>nodata</v>
      </c>
      <c r="K10" t="str">
        <f>IFERROR(VLOOKUP($A10,[1]data!$A$2:$G$50,7,FALSE),"nodata")</f>
        <v>nodata</v>
      </c>
      <c r="L10">
        <f>VLOOKUP(A10,[2]Sheet1!$A$2:$G$265,7,FALSE)</f>
        <v>8809212</v>
      </c>
      <c r="M10" t="str">
        <f t="shared" si="0"/>
        <v>nodata</v>
      </c>
    </row>
    <row r="11" spans="1:13" x14ac:dyDescent="0.2">
      <c r="A11" t="s">
        <v>16</v>
      </c>
      <c r="B11">
        <v>65</v>
      </c>
      <c r="C11">
        <v>150</v>
      </c>
      <c r="D11">
        <v>100</v>
      </c>
      <c r="E11" t="s">
        <v>6</v>
      </c>
      <c r="F11" t="str">
        <f>IFERROR(VLOOKUP($A11,[1]data!$A$2:$G$50,2,FALSE),"nodata")</f>
        <v>nodata</v>
      </c>
      <c r="G11" t="str">
        <f>IFERROR(VLOOKUP($A11,[1]data!$A$2:$G$50,3,FALSE),"nodata")</f>
        <v>nodata</v>
      </c>
      <c r="H11" t="str">
        <f>IFERROR(VLOOKUP($A11,[1]data!$A$2:$G$50,4,FALSE),"nodata")</f>
        <v>nodata</v>
      </c>
      <c r="I11" t="str">
        <f>IFERROR(VLOOKUP($A11,[1]data!$A$2:$G$50,5,FALSE),"nodata")</f>
        <v>nodata</v>
      </c>
      <c r="J11" t="str">
        <f>IFERROR(VLOOKUP($A11,[1]data!$A$2:$G$50,6,FALSE),"nodata")</f>
        <v>nodata</v>
      </c>
      <c r="K11" t="str">
        <f>IFERROR(VLOOKUP($A11,[1]data!$A$2:$G$50,7,FALSE),"nodata")</f>
        <v>nodata</v>
      </c>
      <c r="L11">
        <f>VLOOKUP(A11,[2]Sheet1!$A$2:$G$265,7,FALSE)</f>
        <v>9862429</v>
      </c>
      <c r="M11" t="str">
        <f t="shared" si="0"/>
        <v>nodata</v>
      </c>
    </row>
    <row r="12" spans="1:13" x14ac:dyDescent="0.2">
      <c r="A12" t="s">
        <v>17</v>
      </c>
      <c r="B12">
        <v>121</v>
      </c>
      <c r="C12">
        <v>120</v>
      </c>
      <c r="D12">
        <v>100</v>
      </c>
      <c r="E12" t="s">
        <v>6</v>
      </c>
      <c r="F12" t="str">
        <f>IFERROR(VLOOKUP($A12,[1]data!$A$2:$G$50,2,FALSE),"nodata")</f>
        <v>nodata</v>
      </c>
      <c r="G12" t="str">
        <f>IFERROR(VLOOKUP($A12,[1]data!$A$2:$G$50,3,FALSE),"nodata")</f>
        <v>nodata</v>
      </c>
      <c r="H12" t="str">
        <f>IFERROR(VLOOKUP($A12,[1]data!$A$2:$G$50,4,FALSE),"nodata")</f>
        <v>nodata</v>
      </c>
      <c r="I12" t="str">
        <f>IFERROR(VLOOKUP($A12,[1]data!$A$2:$G$50,5,FALSE),"nodata")</f>
        <v>nodata</v>
      </c>
      <c r="J12" t="str">
        <f>IFERROR(VLOOKUP($A12,[1]data!$A$2:$G$50,6,FALSE),"nodata")</f>
        <v>nodata</v>
      </c>
      <c r="K12" t="str">
        <f>IFERROR(VLOOKUP($A12,[1]data!$A$2:$G$50,7,FALSE),"nodata")</f>
        <v>nodata</v>
      </c>
      <c r="L12">
        <f>VLOOKUP(A12,[2]Sheet1!$A$2:$G$265,7,FALSE)</f>
        <v>395361</v>
      </c>
      <c r="M12" t="str">
        <f t="shared" si="0"/>
        <v>nodata</v>
      </c>
    </row>
    <row r="13" spans="1:13" x14ac:dyDescent="0.2">
      <c r="A13" t="s">
        <v>18</v>
      </c>
      <c r="B13">
        <v>63</v>
      </c>
      <c r="C13">
        <v>67</v>
      </c>
      <c r="D13">
        <v>100</v>
      </c>
      <c r="E13" t="s">
        <v>6</v>
      </c>
      <c r="F13" t="str">
        <f>IFERROR(VLOOKUP($A13,[1]data!$A$2:$G$50,2,FALSE),"nodata")</f>
        <v>nodata</v>
      </c>
      <c r="G13" t="str">
        <f>IFERROR(VLOOKUP($A13,[1]data!$A$2:$G$50,3,FALSE),"nodata")</f>
        <v>nodata</v>
      </c>
      <c r="H13" t="str">
        <f>IFERROR(VLOOKUP($A13,[1]data!$A$2:$G$50,4,FALSE),"nodata")</f>
        <v>nodata</v>
      </c>
      <c r="I13" t="str">
        <f>IFERROR(VLOOKUP($A13,[1]data!$A$2:$G$50,5,FALSE),"nodata")</f>
        <v>nodata</v>
      </c>
      <c r="J13" t="str">
        <f>IFERROR(VLOOKUP($A13,[1]data!$A$2:$G$50,6,FALSE),"nodata")</f>
        <v>nodata</v>
      </c>
      <c r="K13" t="str">
        <f>IFERROR(VLOOKUP($A13,[1]data!$A$2:$G$50,7,FALSE),"nodata")</f>
        <v>nodata</v>
      </c>
      <c r="L13">
        <f>VLOOKUP(A13,[2]Sheet1!$A$2:$G$265,7,FALSE)</f>
        <v>1492584</v>
      </c>
      <c r="M13" t="str">
        <f t="shared" si="0"/>
        <v>nodata</v>
      </c>
    </row>
    <row r="14" spans="1:13" x14ac:dyDescent="0.2">
      <c r="A14" t="s">
        <v>19</v>
      </c>
      <c r="B14">
        <v>176</v>
      </c>
      <c r="C14">
        <v>2865</v>
      </c>
      <c r="D14">
        <v>76</v>
      </c>
      <c r="E14" t="s">
        <v>6</v>
      </c>
      <c r="F14" t="str">
        <f>IFERROR(VLOOKUP($A14,[1]data!$A$2:$G$50,2,FALSE),"nodata")</f>
        <v>nodata</v>
      </c>
      <c r="G14" t="str">
        <f>IFERROR(VLOOKUP($A14,[1]data!$A$2:$G$50,3,FALSE),"nodata")</f>
        <v>nodata</v>
      </c>
      <c r="H14" t="str">
        <f>IFERROR(VLOOKUP($A14,[1]data!$A$2:$G$50,4,FALSE),"nodata")</f>
        <v>nodata</v>
      </c>
      <c r="I14" t="str">
        <f>IFERROR(VLOOKUP($A14,[1]data!$A$2:$G$50,5,FALSE),"nodata")</f>
        <v>nodata</v>
      </c>
      <c r="J14" t="str">
        <f>IFERROR(VLOOKUP($A14,[1]data!$A$2:$G$50,6,FALSE),"nodata")</f>
        <v>nodata</v>
      </c>
      <c r="K14" t="str">
        <f>IFERROR(VLOOKUP($A14,[1]data!$A$2:$G$50,7,FALSE),"nodata")</f>
        <v>nodata</v>
      </c>
      <c r="L14">
        <f>VLOOKUP(A14,[2]Sheet1!$A$2:$G$265,7,FALSE)</f>
        <v>164669751</v>
      </c>
      <c r="M14" t="str">
        <f t="shared" si="0"/>
        <v>nodata</v>
      </c>
    </row>
    <row r="15" spans="1:13" x14ac:dyDescent="0.2">
      <c r="A15" t="s">
        <v>20</v>
      </c>
      <c r="B15">
        <v>117</v>
      </c>
      <c r="C15">
        <v>65</v>
      </c>
      <c r="D15">
        <v>100</v>
      </c>
      <c r="E15" t="s">
        <v>6</v>
      </c>
      <c r="F15" t="str">
        <f>IFERROR(VLOOKUP($A15,[1]data!$A$2:$G$50,2,FALSE),"nodata")</f>
        <v>nodata</v>
      </c>
      <c r="G15" t="str">
        <f>IFERROR(VLOOKUP($A15,[1]data!$A$2:$G$50,3,FALSE),"nodata")</f>
        <v>nodata</v>
      </c>
      <c r="H15" t="str">
        <f>IFERROR(VLOOKUP($A15,[1]data!$A$2:$G$50,4,FALSE),"nodata")</f>
        <v>nodata</v>
      </c>
      <c r="I15" t="str">
        <f>IFERROR(VLOOKUP($A15,[1]data!$A$2:$G$50,5,FALSE),"nodata")</f>
        <v>nodata</v>
      </c>
      <c r="J15" t="str">
        <f>IFERROR(VLOOKUP($A15,[1]data!$A$2:$G$50,6,FALSE),"nodata")</f>
        <v>nodata</v>
      </c>
      <c r="K15" t="str">
        <f>IFERROR(VLOOKUP($A15,[1]data!$A$2:$G$50,7,FALSE),"nodata")</f>
        <v>nodata</v>
      </c>
      <c r="L15">
        <f>VLOOKUP(A15,[2]Sheet1!$A$2:$G$265,7,FALSE)</f>
        <v>285719</v>
      </c>
      <c r="M15" t="str">
        <f t="shared" si="0"/>
        <v>nodata</v>
      </c>
    </row>
    <row r="16" spans="1:13" x14ac:dyDescent="0.2">
      <c r="A16" t="s">
        <v>21</v>
      </c>
      <c r="B16">
        <v>37</v>
      </c>
      <c r="C16">
        <v>119</v>
      </c>
      <c r="D16">
        <v>100</v>
      </c>
      <c r="E16" t="s">
        <v>6</v>
      </c>
      <c r="F16" t="str">
        <f>IFERROR(VLOOKUP($A16,[1]data!$A$2:$G$50,2,FALSE),"nodata")</f>
        <v>nodata</v>
      </c>
      <c r="G16" t="str">
        <f>IFERROR(VLOOKUP($A16,[1]data!$A$2:$G$50,3,FALSE),"nodata")</f>
        <v>nodata</v>
      </c>
      <c r="H16" t="str">
        <f>IFERROR(VLOOKUP($A16,[1]data!$A$2:$G$50,4,FALSE),"nodata")</f>
        <v>nodata</v>
      </c>
      <c r="I16" t="str">
        <f>IFERROR(VLOOKUP($A16,[1]data!$A$2:$G$50,5,FALSE),"nodata")</f>
        <v>nodata</v>
      </c>
      <c r="J16" t="str">
        <f>IFERROR(VLOOKUP($A16,[1]data!$A$2:$G$50,6,FALSE),"nodata")</f>
        <v>nodata</v>
      </c>
      <c r="K16" t="str">
        <f>IFERROR(VLOOKUP($A16,[1]data!$A$2:$G$50,7,FALSE),"nodata")</f>
        <v>nodata</v>
      </c>
      <c r="L16">
        <f>VLOOKUP(A16,[2]Sheet1!$A$2:$G$265,7,FALSE)</f>
        <v>9507875</v>
      </c>
      <c r="M16" t="str">
        <f t="shared" si="0"/>
        <v>nodata</v>
      </c>
    </row>
    <row r="17" spans="1:13" x14ac:dyDescent="0.2">
      <c r="A17" t="s">
        <v>22</v>
      </c>
      <c r="B17">
        <v>42</v>
      </c>
      <c r="C17">
        <v>102</v>
      </c>
      <c r="D17">
        <v>100</v>
      </c>
      <c r="E17" t="s">
        <v>6</v>
      </c>
      <c r="F17" t="str">
        <f>IFERROR(VLOOKUP($A17,[1]data!$A$2:$G$50,2,FALSE),"nodata")</f>
        <v>nodata</v>
      </c>
      <c r="G17" t="str">
        <f>IFERROR(VLOOKUP($A17,[1]data!$A$2:$G$50,3,FALSE),"nodata")</f>
        <v>nodata</v>
      </c>
      <c r="H17" t="str">
        <f>IFERROR(VLOOKUP($A17,[1]data!$A$2:$G$50,4,FALSE),"nodata")</f>
        <v>nodata</v>
      </c>
      <c r="I17" t="str">
        <f>IFERROR(VLOOKUP($A17,[1]data!$A$2:$G$50,5,FALSE),"nodata")</f>
        <v>nodata</v>
      </c>
      <c r="J17" t="str">
        <f>IFERROR(VLOOKUP($A17,[1]data!$A$2:$G$50,6,FALSE),"nodata")</f>
        <v>nodata</v>
      </c>
      <c r="K17" t="str">
        <f>IFERROR(VLOOKUP($A17,[1]data!$A$2:$G$50,7,FALSE),"nodata")</f>
        <v>nodata</v>
      </c>
      <c r="L17">
        <f>VLOOKUP(A17,[2]Sheet1!$A$2:$G$265,7,FALSE)</f>
        <v>11372068</v>
      </c>
      <c r="M17" t="str">
        <f t="shared" si="0"/>
        <v>nodata</v>
      </c>
    </row>
    <row r="18" spans="1:13" x14ac:dyDescent="0.2">
      <c r="A18" t="s">
        <v>23</v>
      </c>
      <c r="B18">
        <v>112</v>
      </c>
      <c r="C18">
        <v>320</v>
      </c>
      <c r="D18">
        <v>92</v>
      </c>
      <c r="E18" t="s">
        <v>6</v>
      </c>
      <c r="F18" t="str">
        <f>IFERROR(VLOOKUP($A18,[1]data!$A$2:$G$50,2,FALSE),"nodata")</f>
        <v>nodata</v>
      </c>
      <c r="G18" t="str">
        <f>IFERROR(VLOOKUP($A18,[1]data!$A$2:$G$50,3,FALSE),"nodata")</f>
        <v>nodata</v>
      </c>
      <c r="H18" t="str">
        <f>IFERROR(VLOOKUP($A18,[1]data!$A$2:$G$50,4,FALSE),"nodata")</f>
        <v>nodata</v>
      </c>
      <c r="I18" t="str">
        <f>IFERROR(VLOOKUP($A18,[1]data!$A$2:$G$50,5,FALSE),"nodata")</f>
        <v>nodata</v>
      </c>
      <c r="J18" t="str">
        <f>IFERROR(VLOOKUP($A18,[1]data!$A$2:$G$50,6,FALSE),"nodata")</f>
        <v>nodata</v>
      </c>
      <c r="K18" t="str">
        <f>IFERROR(VLOOKUP($A18,[1]data!$A$2:$G$50,7,FALSE),"nodata")</f>
        <v>nodata</v>
      </c>
      <c r="L18">
        <f>VLOOKUP(A18,[2]Sheet1!$A$2:$G$265,7,FALSE)</f>
        <v>374681</v>
      </c>
      <c r="M18" t="str">
        <f t="shared" si="0"/>
        <v>nodata</v>
      </c>
    </row>
    <row r="19" spans="1:13" x14ac:dyDescent="0.2">
      <c r="A19" t="s">
        <v>24</v>
      </c>
      <c r="B19">
        <v>155</v>
      </c>
      <c r="C19">
        <v>12582</v>
      </c>
      <c r="D19">
        <v>41</v>
      </c>
      <c r="E19" t="s">
        <v>10</v>
      </c>
      <c r="F19">
        <f>IFERROR(VLOOKUP($A19,[1]data!$A$2:$G$50,2,FALSE),"nodata")</f>
        <v>115543</v>
      </c>
      <c r="G19">
        <f>IFERROR(VLOOKUP($A19,[1]data!$A$2:$G$50,3,FALSE),"nodata")</f>
        <v>0</v>
      </c>
      <c r="H19">
        <f>IFERROR(VLOOKUP($A19,[1]data!$A$2:$G$50,4,FALSE),"nodata")</f>
        <v>3898</v>
      </c>
      <c r="I19">
        <f>IFERROR(VLOOKUP($A19,[1]data!$A$2:$G$50,5,FALSE),"nodata")</f>
        <v>405</v>
      </c>
      <c r="J19">
        <f>IFERROR(VLOOKUP($A19,[1]data!$A$2:$G$50,6,FALSE),"nodata")</f>
        <v>4303</v>
      </c>
      <c r="K19">
        <f>IFERROR(VLOOKUP($A19,[1]data!$A$2:$G$50,7,FALSE),"nodata")</f>
        <v>3.7241546437257127E-2</v>
      </c>
      <c r="L19">
        <f>VLOOKUP(A19,[2]Sheet1!$A$2:$G$265,7,FALSE)</f>
        <v>11175692</v>
      </c>
      <c r="M19">
        <f t="shared" si="0"/>
        <v>3.8503208570887603E-4</v>
      </c>
    </row>
    <row r="20" spans="1:13" x14ac:dyDescent="0.2">
      <c r="A20" t="s">
        <v>25</v>
      </c>
      <c r="B20">
        <v>73</v>
      </c>
      <c r="C20">
        <v>525</v>
      </c>
      <c r="D20">
        <v>100</v>
      </c>
      <c r="E20" t="s">
        <v>6</v>
      </c>
      <c r="F20" t="str">
        <f>IFERROR(VLOOKUP($A20,[1]data!$A$2:$G$50,2,FALSE),"nodata")</f>
        <v>nodata</v>
      </c>
      <c r="G20" t="str">
        <f>IFERROR(VLOOKUP($A20,[1]data!$A$2:$G$50,3,FALSE),"nodata")</f>
        <v>nodata</v>
      </c>
      <c r="H20" t="str">
        <f>IFERROR(VLOOKUP($A20,[1]data!$A$2:$G$50,4,FALSE),"nodata")</f>
        <v>nodata</v>
      </c>
      <c r="I20" t="str">
        <f>IFERROR(VLOOKUP($A20,[1]data!$A$2:$G$50,5,FALSE),"nodata")</f>
        <v>nodata</v>
      </c>
      <c r="J20" t="str">
        <f>IFERROR(VLOOKUP($A20,[1]data!$A$2:$G$50,6,FALSE),"nodata")</f>
        <v>nodata</v>
      </c>
      <c r="K20" t="str">
        <f>IFERROR(VLOOKUP($A20,[1]data!$A$2:$G$50,7,FALSE),"nodata")</f>
        <v>nodata</v>
      </c>
      <c r="L20">
        <f>VLOOKUP(A20,[2]Sheet1!$A$2:$G$265,7,FALSE)</f>
        <v>807610</v>
      </c>
      <c r="M20" t="str">
        <f t="shared" si="0"/>
        <v>nodata</v>
      </c>
    </row>
    <row r="21" spans="1:13" x14ac:dyDescent="0.2">
      <c r="A21" t="s">
        <v>26</v>
      </c>
      <c r="B21">
        <v>149</v>
      </c>
      <c r="C21">
        <v>687</v>
      </c>
      <c r="D21">
        <v>93</v>
      </c>
      <c r="E21" t="s">
        <v>6</v>
      </c>
      <c r="F21" t="str">
        <f>IFERROR(VLOOKUP($A21,[1]data!$A$2:$G$50,2,FALSE),"nodata")</f>
        <v>nodata</v>
      </c>
      <c r="G21" t="str">
        <f>IFERROR(VLOOKUP($A21,[1]data!$A$2:$G$50,3,FALSE),"nodata")</f>
        <v>nodata</v>
      </c>
      <c r="H21" t="str">
        <f>IFERROR(VLOOKUP($A21,[1]data!$A$2:$G$50,4,FALSE),"nodata")</f>
        <v>nodata</v>
      </c>
      <c r="I21" t="str">
        <f>IFERROR(VLOOKUP($A21,[1]data!$A$2:$G$50,5,FALSE),"nodata")</f>
        <v>nodata</v>
      </c>
      <c r="J21" t="str">
        <f>IFERROR(VLOOKUP($A21,[1]data!$A$2:$G$50,6,FALSE),"nodata")</f>
        <v>nodata</v>
      </c>
      <c r="K21" t="str">
        <f>IFERROR(VLOOKUP($A21,[1]data!$A$2:$G$50,7,FALSE),"nodata")</f>
        <v>nodata</v>
      </c>
      <c r="L21">
        <f>VLOOKUP(A21,[2]Sheet1!$A$2:$G$265,7,FALSE)</f>
        <v>11051600</v>
      </c>
      <c r="M21" t="str">
        <f t="shared" si="0"/>
        <v>nodata</v>
      </c>
    </row>
    <row r="22" spans="1:13" x14ac:dyDescent="0.2">
      <c r="A22" t="s">
        <v>27</v>
      </c>
      <c r="B22">
        <v>81</v>
      </c>
      <c r="C22">
        <v>400</v>
      </c>
      <c r="D22">
        <v>100</v>
      </c>
      <c r="E22" t="s">
        <v>6</v>
      </c>
      <c r="F22" t="str">
        <f>IFERROR(VLOOKUP($A22,[1]data!$A$2:$G$50,2,FALSE),"nodata")</f>
        <v>nodata</v>
      </c>
      <c r="G22" t="str">
        <f>IFERROR(VLOOKUP($A22,[1]data!$A$2:$G$50,3,FALSE),"nodata")</f>
        <v>nodata</v>
      </c>
      <c r="H22" t="str">
        <f>IFERROR(VLOOKUP($A22,[1]data!$A$2:$G$50,4,FALSE),"nodata")</f>
        <v>nodata</v>
      </c>
      <c r="I22" t="str">
        <f>IFERROR(VLOOKUP($A22,[1]data!$A$2:$G$50,5,FALSE),"nodata")</f>
        <v>nodata</v>
      </c>
      <c r="J22" t="str">
        <f>IFERROR(VLOOKUP($A22,[1]data!$A$2:$G$50,6,FALSE),"nodata")</f>
        <v>nodata</v>
      </c>
      <c r="K22" t="str">
        <f>IFERROR(VLOOKUP($A22,[1]data!$A$2:$G$50,7,FALSE),"nodata")</f>
        <v>nodata</v>
      </c>
      <c r="L22">
        <f>VLOOKUP(A22,[2]Sheet1!$A$2:$G$265,7,FALSE)</f>
        <v>3507017</v>
      </c>
      <c r="M22" t="str">
        <f t="shared" si="0"/>
        <v>nodata</v>
      </c>
    </row>
    <row r="23" spans="1:13" x14ac:dyDescent="0.2">
      <c r="A23" t="s">
        <v>28</v>
      </c>
      <c r="B23">
        <v>71</v>
      </c>
      <c r="C23">
        <v>324</v>
      </c>
      <c r="D23">
        <v>61</v>
      </c>
      <c r="E23" t="s">
        <v>10</v>
      </c>
      <c r="F23">
        <f>IFERROR(VLOOKUP($A23,[1]data!$A$2:$G$50,2,FALSE),"nodata")</f>
        <v>578084</v>
      </c>
      <c r="G23">
        <f>IFERROR(VLOOKUP($A23,[1]data!$A$2:$G$50,3,FALSE),"nodata")</f>
        <v>13070</v>
      </c>
      <c r="H23">
        <f>IFERROR(VLOOKUP($A23,[1]data!$A$2:$G$50,4,FALSE),"nodata")</f>
        <v>13764</v>
      </c>
      <c r="I23">
        <f>IFERROR(VLOOKUP($A23,[1]data!$A$2:$G$50,5,FALSE),"nodata")</f>
        <v>9793</v>
      </c>
      <c r="J23">
        <f>IFERROR(VLOOKUP($A23,[1]data!$A$2:$G$50,6,FALSE),"nodata")</f>
        <v>36627</v>
      </c>
      <c r="K23">
        <f>IFERROR(VLOOKUP($A23,[1]data!$A$2:$G$50,7,FALSE),"nodata")</f>
        <v>6.3359304184167006E-2</v>
      </c>
      <c r="L23">
        <f>VLOOKUP(A23,[2]Sheet1!$A$2:$G$265,7,FALSE)</f>
        <v>2291661</v>
      </c>
      <c r="M23">
        <f t="shared" si="0"/>
        <v>1.5982730430024336E-2</v>
      </c>
    </row>
    <row r="24" spans="1:13" x14ac:dyDescent="0.2">
      <c r="A24" t="s">
        <v>29</v>
      </c>
      <c r="B24">
        <v>123</v>
      </c>
      <c r="C24">
        <v>58</v>
      </c>
      <c r="D24">
        <v>100</v>
      </c>
      <c r="E24" t="s">
        <v>6</v>
      </c>
      <c r="F24" t="str">
        <f>IFERROR(VLOOKUP($A24,[1]data!$A$2:$G$50,2,FALSE),"nodata")</f>
        <v>nodata</v>
      </c>
      <c r="G24" t="str">
        <f>IFERROR(VLOOKUP($A24,[1]data!$A$2:$G$50,3,FALSE),"nodata")</f>
        <v>nodata</v>
      </c>
      <c r="H24" t="str">
        <f>IFERROR(VLOOKUP($A24,[1]data!$A$2:$G$50,4,FALSE),"nodata")</f>
        <v>nodata</v>
      </c>
      <c r="I24" t="str">
        <f>IFERROR(VLOOKUP($A24,[1]data!$A$2:$G$50,5,FALSE),"nodata")</f>
        <v>nodata</v>
      </c>
      <c r="J24" t="str">
        <f>IFERROR(VLOOKUP($A24,[1]data!$A$2:$G$50,6,FALSE),"nodata")</f>
        <v>nodata</v>
      </c>
      <c r="K24" t="str">
        <f>IFERROR(VLOOKUP($A24,[1]data!$A$2:$G$50,7,FALSE),"nodata")</f>
        <v>nodata</v>
      </c>
      <c r="L24">
        <f>VLOOKUP(A24,[2]Sheet1!$A$2:$G$265,7,FALSE)</f>
        <v>209288278</v>
      </c>
      <c r="M24" t="str">
        <f t="shared" si="0"/>
        <v>nodata</v>
      </c>
    </row>
    <row r="25" spans="1:13" x14ac:dyDescent="0.2">
      <c r="A25" t="s">
        <v>30</v>
      </c>
      <c r="B25">
        <v>72</v>
      </c>
      <c r="C25">
        <v>54</v>
      </c>
      <c r="D25">
        <v>100</v>
      </c>
      <c r="E25" t="s">
        <v>6</v>
      </c>
      <c r="F25" t="str">
        <f>IFERROR(VLOOKUP($A25,[1]data!$A$2:$G$50,2,FALSE),"nodata")</f>
        <v>nodata</v>
      </c>
      <c r="G25" t="str">
        <f>IFERROR(VLOOKUP($A25,[1]data!$A$2:$G$50,3,FALSE),"nodata")</f>
        <v>nodata</v>
      </c>
      <c r="H25" t="str">
        <f>IFERROR(VLOOKUP($A25,[1]data!$A$2:$G$50,4,FALSE),"nodata")</f>
        <v>nodata</v>
      </c>
      <c r="I25" t="str">
        <f>IFERROR(VLOOKUP($A25,[1]data!$A$2:$G$50,5,FALSE),"nodata")</f>
        <v>nodata</v>
      </c>
      <c r="J25" t="str">
        <f>IFERROR(VLOOKUP($A25,[1]data!$A$2:$G$50,6,FALSE),"nodata")</f>
        <v>nodata</v>
      </c>
      <c r="K25" t="str">
        <f>IFERROR(VLOOKUP($A25,[1]data!$A$2:$G$50,7,FALSE),"nodata")</f>
        <v>nodata</v>
      </c>
      <c r="L25">
        <f>VLOOKUP(A25,[2]Sheet1!$A$2:$G$265,7,FALSE)</f>
        <v>428697</v>
      </c>
      <c r="M25" t="str">
        <f t="shared" si="0"/>
        <v>nodata</v>
      </c>
    </row>
    <row r="26" spans="1:13" x14ac:dyDescent="0.2">
      <c r="A26" t="s">
        <v>31</v>
      </c>
      <c r="B26">
        <v>39</v>
      </c>
      <c r="C26">
        <v>374</v>
      </c>
      <c r="D26">
        <v>100</v>
      </c>
      <c r="E26" t="s">
        <v>6</v>
      </c>
      <c r="F26" t="str">
        <f>IFERROR(VLOOKUP($A26,[1]data!$A$2:$G$50,2,FALSE),"nodata")</f>
        <v>nodata</v>
      </c>
      <c r="G26" t="str">
        <f>IFERROR(VLOOKUP($A26,[1]data!$A$2:$G$50,3,FALSE),"nodata")</f>
        <v>nodata</v>
      </c>
      <c r="H26" t="str">
        <f>IFERROR(VLOOKUP($A26,[1]data!$A$2:$G$50,4,FALSE),"nodata")</f>
        <v>nodata</v>
      </c>
      <c r="I26" t="str">
        <f>IFERROR(VLOOKUP($A26,[1]data!$A$2:$G$50,5,FALSE),"nodata")</f>
        <v>nodata</v>
      </c>
      <c r="J26" t="str">
        <f>IFERROR(VLOOKUP($A26,[1]data!$A$2:$G$50,6,FALSE),"nodata")</f>
        <v>nodata</v>
      </c>
      <c r="K26" t="str">
        <f>IFERROR(VLOOKUP($A26,[1]data!$A$2:$G$50,7,FALSE),"nodata")</f>
        <v>nodata</v>
      </c>
      <c r="L26">
        <f>VLOOKUP(A26,[2]Sheet1!$A$2:$G$265,7,FALSE)</f>
        <v>7075991</v>
      </c>
      <c r="M26" t="str">
        <f t="shared" si="0"/>
        <v>nodata</v>
      </c>
    </row>
    <row r="27" spans="1:13" x14ac:dyDescent="0.2">
      <c r="A27" t="s">
        <v>32</v>
      </c>
      <c r="B27">
        <v>146</v>
      </c>
      <c r="C27">
        <v>10028</v>
      </c>
      <c r="D27">
        <v>19</v>
      </c>
      <c r="E27" t="s">
        <v>10</v>
      </c>
      <c r="F27">
        <f>IFERROR(VLOOKUP($A27,[1]data!$A$2:$G$50,2,FALSE),"nodata")</f>
        <v>273367</v>
      </c>
      <c r="G27">
        <f>IFERROR(VLOOKUP($A27,[1]data!$A$2:$G$50,3,FALSE),"nodata")</f>
        <v>0</v>
      </c>
      <c r="H27">
        <f>IFERROR(VLOOKUP($A27,[1]data!$A$2:$G$50,4,FALSE),"nodata")</f>
        <v>7742</v>
      </c>
      <c r="I27">
        <f>IFERROR(VLOOKUP($A27,[1]data!$A$2:$G$50,5,FALSE),"nodata")</f>
        <v>4154</v>
      </c>
      <c r="J27">
        <f>IFERROR(VLOOKUP($A27,[1]data!$A$2:$G$50,6,FALSE),"nodata")</f>
        <v>11896</v>
      </c>
      <c r="K27">
        <f>IFERROR(VLOOKUP($A27,[1]data!$A$2:$G$50,7,FALSE),"nodata")</f>
        <v>4.3516591249126629E-2</v>
      </c>
      <c r="L27">
        <f>VLOOKUP(A27,[2]Sheet1!$A$2:$G$265,7,FALSE)</f>
        <v>19193382</v>
      </c>
      <c r="M27">
        <f t="shared" si="0"/>
        <v>6.1979696960129274E-4</v>
      </c>
    </row>
    <row r="28" spans="1:13" x14ac:dyDescent="0.2">
      <c r="A28" t="s">
        <v>33</v>
      </c>
      <c r="B28">
        <v>157</v>
      </c>
      <c r="C28">
        <v>16918</v>
      </c>
      <c r="D28">
        <v>8</v>
      </c>
      <c r="E28" t="s">
        <v>10</v>
      </c>
      <c r="F28">
        <f>IFERROR(VLOOKUP($A28,[1]data!$A$2:$G$50,2,FALSE),"nodata")</f>
        <v>26949</v>
      </c>
      <c r="G28">
        <f>IFERROR(VLOOKUP($A28,[1]data!$A$2:$G$50,3,FALSE),"nodata")</f>
        <v>786</v>
      </c>
      <c r="H28">
        <f>IFERROR(VLOOKUP($A28,[1]data!$A$2:$G$50,4,FALSE),"nodata")</f>
        <v>888</v>
      </c>
      <c r="I28">
        <f>IFERROR(VLOOKUP($A28,[1]data!$A$2:$G$50,5,FALSE),"nodata")</f>
        <v>0</v>
      </c>
      <c r="J28">
        <f>IFERROR(VLOOKUP($A28,[1]data!$A$2:$G$50,6,FALSE),"nodata")</f>
        <v>1674</v>
      </c>
      <c r="K28">
        <f>IFERROR(VLOOKUP($A28,[1]data!$A$2:$G$50,7,FALSE),"nodata")</f>
        <v>6.211733273961928E-2</v>
      </c>
      <c r="L28">
        <f>VLOOKUP(A28,[2]Sheet1!$A$2:$G$265,7,FALSE)</f>
        <v>10864245</v>
      </c>
      <c r="M28">
        <f t="shared" si="0"/>
        <v>1.5408341766961258E-4</v>
      </c>
    </row>
    <row r="29" spans="1:13" x14ac:dyDescent="0.2">
      <c r="A29" t="s">
        <v>34</v>
      </c>
      <c r="B29">
        <v>131</v>
      </c>
      <c r="C29">
        <v>2172</v>
      </c>
      <c r="D29">
        <v>50</v>
      </c>
      <c r="E29" t="s">
        <v>6</v>
      </c>
      <c r="F29" t="str">
        <f>IFERROR(VLOOKUP($A29,[1]data!$A$2:$G$50,2,FALSE),"nodata")</f>
        <v>nodata</v>
      </c>
      <c r="G29" t="str">
        <f>IFERROR(VLOOKUP($A29,[1]data!$A$2:$G$50,3,FALSE),"nodata")</f>
        <v>nodata</v>
      </c>
      <c r="H29" t="str">
        <f>IFERROR(VLOOKUP($A29,[1]data!$A$2:$G$50,4,FALSE),"nodata")</f>
        <v>nodata</v>
      </c>
      <c r="I29" t="str">
        <f>IFERROR(VLOOKUP($A29,[1]data!$A$2:$G$50,5,FALSE),"nodata")</f>
        <v>nodata</v>
      </c>
      <c r="J29" t="str">
        <f>IFERROR(VLOOKUP($A29,[1]data!$A$2:$G$50,6,FALSE),"nodata")</f>
        <v>nodata</v>
      </c>
      <c r="K29" t="str">
        <f>IFERROR(VLOOKUP($A29,[1]data!$A$2:$G$50,7,FALSE),"nodata")</f>
        <v>nodata</v>
      </c>
      <c r="L29">
        <f>VLOOKUP(A29,[2]Sheet1!$A$2:$G$265,7,FALSE)</f>
        <v>16005373</v>
      </c>
      <c r="M29" t="str">
        <f t="shared" si="0"/>
        <v>nodata</v>
      </c>
    </row>
    <row r="30" spans="1:13" x14ac:dyDescent="0.2">
      <c r="A30" t="s">
        <v>35</v>
      </c>
      <c r="B30">
        <v>166</v>
      </c>
      <c r="C30">
        <v>1597</v>
      </c>
      <c r="D30">
        <v>60</v>
      </c>
      <c r="E30" t="s">
        <v>10</v>
      </c>
      <c r="F30">
        <f>IFERROR(VLOOKUP($A30,[1]data!$A$2:$G$50,2,FALSE),"nodata")</f>
        <v>466295</v>
      </c>
      <c r="G30">
        <f>IFERROR(VLOOKUP($A30,[1]data!$A$2:$G$50,3,FALSE),"nodata")</f>
        <v>3706</v>
      </c>
      <c r="H30">
        <f>IFERROR(VLOOKUP($A30,[1]data!$A$2:$G$50,4,FALSE),"nodata")</f>
        <v>10105</v>
      </c>
      <c r="I30">
        <f>IFERROR(VLOOKUP($A30,[1]data!$A$2:$G$50,5,FALSE),"nodata")</f>
        <v>979</v>
      </c>
      <c r="J30">
        <f>IFERROR(VLOOKUP($A30,[1]data!$A$2:$G$50,6,FALSE),"nodata")</f>
        <v>14790</v>
      </c>
      <c r="K30">
        <f>IFERROR(VLOOKUP($A30,[1]data!$A$2:$G$50,7,FALSE),"nodata")</f>
        <v>3.1718118358549846E-2</v>
      </c>
      <c r="L30">
        <f>VLOOKUP(A30,[2]Sheet1!$A$2:$G$265,7,FALSE)</f>
        <v>24053727</v>
      </c>
      <c r="M30">
        <f t="shared" si="0"/>
        <v>6.1487352874670944E-4</v>
      </c>
    </row>
    <row r="31" spans="1:13" x14ac:dyDescent="0.2">
      <c r="A31" t="s">
        <v>36</v>
      </c>
      <c r="B31">
        <v>22</v>
      </c>
      <c r="C31">
        <v>126</v>
      </c>
      <c r="D31">
        <v>100</v>
      </c>
      <c r="E31" t="s">
        <v>6</v>
      </c>
      <c r="F31" t="str">
        <f>IFERROR(VLOOKUP($A31,[1]data!$A$2:$G$50,2,FALSE),"nodata")</f>
        <v>nodata</v>
      </c>
      <c r="G31" t="str">
        <f>IFERROR(VLOOKUP($A31,[1]data!$A$2:$G$50,3,FALSE),"nodata")</f>
        <v>nodata</v>
      </c>
      <c r="H31" t="str">
        <f>IFERROR(VLOOKUP($A31,[1]data!$A$2:$G$50,4,FALSE),"nodata")</f>
        <v>nodata</v>
      </c>
      <c r="I31" t="str">
        <f>IFERROR(VLOOKUP($A31,[1]data!$A$2:$G$50,5,FALSE),"nodata")</f>
        <v>nodata</v>
      </c>
      <c r="J31" t="str">
        <f>IFERROR(VLOOKUP($A31,[1]data!$A$2:$G$50,6,FALSE),"nodata")</f>
        <v>nodata</v>
      </c>
      <c r="K31" t="str">
        <f>IFERROR(VLOOKUP($A31,[1]data!$A$2:$G$50,7,FALSE),"nodata")</f>
        <v>nodata</v>
      </c>
      <c r="L31">
        <f>VLOOKUP(A31,[2]Sheet1!$A$2:$G$265,7,FALSE)</f>
        <v>36708083</v>
      </c>
      <c r="M31" t="str">
        <f t="shared" si="0"/>
        <v>nodata</v>
      </c>
    </row>
    <row r="32" spans="1:13" x14ac:dyDescent="0.2">
      <c r="A32" t="s">
        <v>204</v>
      </c>
      <c r="B32">
        <v>129</v>
      </c>
      <c r="C32">
        <v>1027</v>
      </c>
      <c r="D32">
        <v>93</v>
      </c>
      <c r="E32" t="s">
        <v>10</v>
      </c>
      <c r="F32" t="str">
        <f>IFERROR(VLOOKUP($A32,[1]data!$A$2:$G$50,2,FALSE),"nodata")</f>
        <v>nodata</v>
      </c>
      <c r="G32" t="str">
        <f>IFERROR(VLOOKUP($A32,[1]data!$A$2:$G$50,3,FALSE),"nodata")</f>
        <v>nodata</v>
      </c>
      <c r="H32" t="str">
        <f>IFERROR(VLOOKUP($A32,[1]data!$A$2:$G$50,4,FALSE),"nodata")</f>
        <v>nodata</v>
      </c>
      <c r="I32" t="str">
        <f>IFERROR(VLOOKUP($A32,[1]data!$A$2:$G$50,5,FALSE),"nodata")</f>
        <v>nodata</v>
      </c>
      <c r="J32" t="str">
        <f>IFERROR(VLOOKUP($A32,[1]data!$A$2:$G$50,6,FALSE),"nodata")</f>
        <v>nodata</v>
      </c>
      <c r="K32" t="str">
        <f>IFERROR(VLOOKUP($A32,[1]data!$A$2:$G$50,7,FALSE),"nodata")</f>
        <v>nodata</v>
      </c>
      <c r="L32">
        <f>VLOOKUP(A32,[2]Sheet1!$A$2:$G$265,7,FALSE)</f>
        <v>546388</v>
      </c>
      <c r="M32" t="str">
        <f t="shared" si="0"/>
        <v>nodata</v>
      </c>
    </row>
    <row r="33" spans="1:13" x14ac:dyDescent="0.2">
      <c r="A33" t="s">
        <v>37</v>
      </c>
      <c r="B33">
        <v>185</v>
      </c>
      <c r="C33">
        <v>15810</v>
      </c>
      <c r="D33">
        <v>14</v>
      </c>
      <c r="E33" t="s">
        <v>10</v>
      </c>
      <c r="F33">
        <f>IFERROR(VLOOKUP($A33,[1]data!$A$2:$G$50,2,FALSE),"nodata")</f>
        <v>620200</v>
      </c>
      <c r="G33">
        <f>IFERROR(VLOOKUP($A33,[1]data!$A$2:$G$50,3,FALSE),"nodata")</f>
        <v>3471</v>
      </c>
      <c r="H33">
        <f>IFERROR(VLOOKUP($A33,[1]data!$A$2:$G$50,4,FALSE),"nodata")</f>
        <v>5284</v>
      </c>
      <c r="I33">
        <f>IFERROR(VLOOKUP($A33,[1]data!$A$2:$G$50,5,FALSE),"nodata")</f>
        <v>79</v>
      </c>
      <c r="J33">
        <f>IFERROR(VLOOKUP($A33,[1]data!$A$2:$G$50,6,FALSE),"nodata")</f>
        <v>8834</v>
      </c>
      <c r="K33">
        <f>IFERROR(VLOOKUP($A33,[1]data!$A$2:$G$50,7,FALSE),"nodata")</f>
        <v>1.4243792325056433E-2</v>
      </c>
      <c r="L33">
        <f>VLOOKUP(A33,[2]Sheet1!$A$2:$G$265,7,FALSE)</f>
        <v>4659080</v>
      </c>
      <c r="M33">
        <f t="shared" si="0"/>
        <v>1.8960824883882655E-3</v>
      </c>
    </row>
    <row r="34" spans="1:13" x14ac:dyDescent="0.2">
      <c r="A34" t="s">
        <v>38</v>
      </c>
      <c r="B34">
        <v>180</v>
      </c>
      <c r="C34">
        <v>8527</v>
      </c>
      <c r="D34">
        <v>9</v>
      </c>
      <c r="E34" t="s">
        <v>10</v>
      </c>
      <c r="F34">
        <f>IFERROR(VLOOKUP($A34,[1]data!$A$2:$G$50,2,FALSE),"nodata")</f>
        <v>1269961</v>
      </c>
      <c r="G34">
        <f>IFERROR(VLOOKUP($A34,[1]data!$A$2:$G$50,3,FALSE),"nodata")</f>
        <v>10284</v>
      </c>
      <c r="H34">
        <f>IFERROR(VLOOKUP($A34,[1]data!$A$2:$G$50,4,FALSE),"nodata")</f>
        <v>10506</v>
      </c>
      <c r="I34">
        <f>IFERROR(VLOOKUP($A34,[1]data!$A$2:$G$50,5,FALSE),"nodata")</f>
        <v>9165</v>
      </c>
      <c r="J34">
        <f>IFERROR(VLOOKUP($A34,[1]data!$A$2:$G$50,6,FALSE),"nodata")</f>
        <v>29955</v>
      </c>
      <c r="K34">
        <f>IFERROR(VLOOKUP($A34,[1]data!$A$2:$G$50,7,FALSE),"nodata")</f>
        <v>2.358733850882035E-2</v>
      </c>
      <c r="L34">
        <f>VLOOKUP(A34,[2]Sheet1!$A$2:$G$265,7,FALSE)</f>
        <v>14899994</v>
      </c>
      <c r="M34">
        <f t="shared" si="0"/>
        <v>2.0104034941222123E-3</v>
      </c>
    </row>
    <row r="35" spans="1:13" x14ac:dyDescent="0.2">
      <c r="A35" t="s">
        <v>39</v>
      </c>
      <c r="B35">
        <v>57</v>
      </c>
      <c r="C35">
        <v>71</v>
      </c>
      <c r="D35">
        <v>100</v>
      </c>
      <c r="E35" t="s">
        <v>6</v>
      </c>
      <c r="F35" t="str">
        <f>IFERROR(VLOOKUP($A35,[1]data!$A$2:$G$50,2,FALSE),"nodata")</f>
        <v>nodata</v>
      </c>
      <c r="G35" t="str">
        <f>IFERROR(VLOOKUP($A35,[1]data!$A$2:$G$50,3,FALSE),"nodata")</f>
        <v>nodata</v>
      </c>
      <c r="H35" t="str">
        <f>IFERROR(VLOOKUP($A35,[1]data!$A$2:$G$50,4,FALSE),"nodata")</f>
        <v>nodata</v>
      </c>
      <c r="I35" t="str">
        <f>IFERROR(VLOOKUP($A35,[1]data!$A$2:$G$50,5,FALSE),"nodata")</f>
        <v>nodata</v>
      </c>
      <c r="J35" t="str">
        <f>IFERROR(VLOOKUP($A35,[1]data!$A$2:$G$50,6,FALSE),"nodata")</f>
        <v>nodata</v>
      </c>
      <c r="K35" t="str">
        <f>IFERROR(VLOOKUP($A35,[1]data!$A$2:$G$50,7,FALSE),"nodata")</f>
        <v>nodata</v>
      </c>
      <c r="L35">
        <f>VLOOKUP(A35,[2]Sheet1!$A$2:$G$265,7,FALSE)</f>
        <v>18054726</v>
      </c>
      <c r="M35" t="str">
        <f t="shared" si="0"/>
        <v>nodata</v>
      </c>
    </row>
    <row r="36" spans="1:13" x14ac:dyDescent="0.2">
      <c r="A36" t="s">
        <v>40</v>
      </c>
      <c r="B36">
        <v>78</v>
      </c>
      <c r="C36">
        <v>390</v>
      </c>
      <c r="D36">
        <v>100</v>
      </c>
      <c r="E36" t="s">
        <v>6</v>
      </c>
      <c r="F36" t="str">
        <f>IFERROR(VLOOKUP($A36,[1]data!$A$2:$G$50,2,FALSE),"nodata")</f>
        <v>nodata</v>
      </c>
      <c r="G36" t="str">
        <f>IFERROR(VLOOKUP($A36,[1]data!$A$2:$G$50,3,FALSE),"nodata")</f>
        <v>nodata</v>
      </c>
      <c r="H36" t="str">
        <f>IFERROR(VLOOKUP($A36,[1]data!$A$2:$G$50,4,FALSE),"nodata")</f>
        <v>nodata</v>
      </c>
      <c r="I36" t="str">
        <f>IFERROR(VLOOKUP($A36,[1]data!$A$2:$G$50,5,FALSE),"nodata")</f>
        <v>nodata</v>
      </c>
      <c r="J36" t="str">
        <f>IFERROR(VLOOKUP($A36,[1]data!$A$2:$G$50,6,FALSE),"nodata")</f>
        <v>nodata</v>
      </c>
      <c r="K36" t="str">
        <f>IFERROR(VLOOKUP($A36,[1]data!$A$2:$G$50,7,FALSE),"nodata")</f>
        <v>nodata</v>
      </c>
      <c r="L36">
        <f>VLOOKUP(A36,[2]Sheet1!$A$2:$G$265,7,FALSE)</f>
        <v>1386395000</v>
      </c>
      <c r="M36" t="str">
        <f t="shared" si="0"/>
        <v>nodata</v>
      </c>
    </row>
    <row r="37" spans="1:13" x14ac:dyDescent="0.2">
      <c r="A37" t="s">
        <v>41</v>
      </c>
      <c r="B37">
        <v>53</v>
      </c>
      <c r="C37">
        <v>581</v>
      </c>
      <c r="D37">
        <v>99</v>
      </c>
      <c r="E37" t="s">
        <v>6</v>
      </c>
      <c r="F37" t="str">
        <f>IFERROR(VLOOKUP($A37,[1]data!$A$2:$G$50,2,FALSE),"nodata")</f>
        <v>nodata</v>
      </c>
      <c r="G37" t="str">
        <f>IFERROR(VLOOKUP($A37,[1]data!$A$2:$G$50,3,FALSE),"nodata")</f>
        <v>nodata</v>
      </c>
      <c r="H37" t="str">
        <f>IFERROR(VLOOKUP($A37,[1]data!$A$2:$G$50,4,FALSE),"nodata")</f>
        <v>nodata</v>
      </c>
      <c r="I37" t="str">
        <f>IFERROR(VLOOKUP($A37,[1]data!$A$2:$G$50,5,FALSE),"nodata")</f>
        <v>nodata</v>
      </c>
      <c r="J37" t="str">
        <f>IFERROR(VLOOKUP($A37,[1]data!$A$2:$G$50,6,FALSE),"nodata")</f>
        <v>nodata</v>
      </c>
      <c r="K37" t="str">
        <f>IFERROR(VLOOKUP($A37,[1]data!$A$2:$G$50,7,FALSE),"nodata")</f>
        <v>nodata</v>
      </c>
      <c r="L37">
        <f>VLOOKUP(A37,[2]Sheet1!$A$2:$G$265,7,FALSE)</f>
        <v>49065615</v>
      </c>
      <c r="M37" t="str">
        <f t="shared" si="0"/>
        <v>nodata</v>
      </c>
    </row>
    <row r="38" spans="1:13" x14ac:dyDescent="0.2">
      <c r="A38" t="s">
        <v>42</v>
      </c>
      <c r="B38">
        <v>153</v>
      </c>
      <c r="C38">
        <v>2451</v>
      </c>
      <c r="D38">
        <v>78</v>
      </c>
      <c r="E38" t="s">
        <v>10</v>
      </c>
      <c r="F38" t="str">
        <f>IFERROR(VLOOKUP($A38,[1]data!$A$2:$G$50,2,FALSE),"nodata")</f>
        <v>nodata</v>
      </c>
      <c r="G38" t="str">
        <f>IFERROR(VLOOKUP($A38,[1]data!$A$2:$G$50,3,FALSE),"nodata")</f>
        <v>nodata</v>
      </c>
      <c r="H38" t="str">
        <f>IFERROR(VLOOKUP($A38,[1]data!$A$2:$G$50,4,FALSE),"nodata")</f>
        <v>nodata</v>
      </c>
      <c r="I38" t="str">
        <f>IFERROR(VLOOKUP($A38,[1]data!$A$2:$G$50,5,FALSE),"nodata")</f>
        <v>nodata</v>
      </c>
      <c r="J38" t="str">
        <f>IFERROR(VLOOKUP($A38,[1]data!$A$2:$G$50,6,FALSE),"nodata")</f>
        <v>nodata</v>
      </c>
      <c r="K38" t="str">
        <f>IFERROR(VLOOKUP($A38,[1]data!$A$2:$G$50,7,FALSE),"nodata")</f>
        <v>nodata</v>
      </c>
      <c r="L38">
        <f>VLOOKUP(A38,[2]Sheet1!$A$2:$G$265,7,FALSE)</f>
        <v>813912</v>
      </c>
      <c r="M38" t="str">
        <f t="shared" si="0"/>
        <v>nodata</v>
      </c>
    </row>
    <row r="39" spans="1:13" x14ac:dyDescent="0.2">
      <c r="A39" t="s">
        <v>43</v>
      </c>
      <c r="B39">
        <v>184</v>
      </c>
      <c r="C39">
        <v>15264</v>
      </c>
      <c r="D39">
        <v>17</v>
      </c>
      <c r="E39" t="s">
        <v>10</v>
      </c>
      <c r="F39">
        <f>IFERROR(VLOOKUP($A39,[1]data!$A$2:$G$50,2,FALSE),"nodata")</f>
        <v>2327986</v>
      </c>
      <c r="G39">
        <f>IFERROR(VLOOKUP($A39,[1]data!$A$2:$G$50,3,FALSE),"nodata")</f>
        <v>12439</v>
      </c>
      <c r="H39">
        <f>IFERROR(VLOOKUP($A39,[1]data!$A$2:$G$50,4,FALSE),"nodata")</f>
        <v>22862</v>
      </c>
      <c r="I39">
        <f>IFERROR(VLOOKUP($A39,[1]data!$A$2:$G$50,5,FALSE),"nodata")</f>
        <v>2173</v>
      </c>
      <c r="J39">
        <f>IFERROR(VLOOKUP($A39,[1]data!$A$2:$G$50,6,FALSE),"nodata")</f>
        <v>37474</v>
      </c>
      <c r="K39">
        <f>IFERROR(VLOOKUP($A39,[1]data!$A$2:$G$50,7,FALSE),"nodata")</f>
        <v>1.6097175842122762E-2</v>
      </c>
      <c r="L39">
        <f>VLOOKUP(A39,[2]Sheet1!$A$2:$G$265,7,FALSE)</f>
        <v>81339988</v>
      </c>
      <c r="M39">
        <f t="shared" si="0"/>
        <v>4.6070820664492843E-4</v>
      </c>
    </row>
    <row r="40" spans="1:13" x14ac:dyDescent="0.2">
      <c r="A40" t="s">
        <v>44</v>
      </c>
      <c r="B40">
        <v>177</v>
      </c>
      <c r="C40">
        <v>5469</v>
      </c>
      <c r="D40">
        <v>57</v>
      </c>
      <c r="E40" t="s">
        <v>10</v>
      </c>
      <c r="F40">
        <f>IFERROR(VLOOKUP($A40,[1]data!$A$2:$G$50,2,FALSE),"nodata")</f>
        <v>341574</v>
      </c>
      <c r="G40">
        <f>IFERROR(VLOOKUP($A40,[1]data!$A$2:$G$50,3,FALSE),"nodata")</f>
        <v>2</v>
      </c>
      <c r="H40">
        <f>IFERROR(VLOOKUP($A40,[1]data!$A$2:$G$50,4,FALSE),"nodata")</f>
        <v>6778</v>
      </c>
      <c r="I40">
        <f>IFERROR(VLOOKUP($A40,[1]data!$A$2:$G$50,5,FALSE),"nodata")</f>
        <v>0</v>
      </c>
      <c r="J40">
        <f>IFERROR(VLOOKUP($A40,[1]data!$A$2:$G$50,6,FALSE),"nodata")</f>
        <v>6780</v>
      </c>
      <c r="K40">
        <f>IFERROR(VLOOKUP($A40,[1]data!$A$2:$G$50,7,FALSE),"nodata")</f>
        <v>1.9849285952677896E-2</v>
      </c>
      <c r="L40">
        <f>VLOOKUP(A40,[2]Sheet1!$A$2:$G$265,7,FALSE)</f>
        <v>5260750</v>
      </c>
      <c r="M40">
        <f t="shared" si="0"/>
        <v>1.2887896212517226E-3</v>
      </c>
    </row>
    <row r="41" spans="1:13" x14ac:dyDescent="0.2">
      <c r="A41" t="s">
        <v>45</v>
      </c>
      <c r="B41">
        <v>62</v>
      </c>
      <c r="C41">
        <v>182</v>
      </c>
      <c r="D41">
        <v>100</v>
      </c>
      <c r="E41" t="s">
        <v>6</v>
      </c>
      <c r="F41" t="str">
        <f>IFERROR(VLOOKUP($A41,[1]data!$A$2:$G$50,2,FALSE),"nodata")</f>
        <v>nodata</v>
      </c>
      <c r="G41" t="str">
        <f>IFERROR(VLOOKUP($A41,[1]data!$A$2:$G$50,3,FALSE),"nodata")</f>
        <v>nodata</v>
      </c>
      <c r="H41" t="str">
        <f>IFERROR(VLOOKUP($A41,[1]data!$A$2:$G$50,4,FALSE),"nodata")</f>
        <v>nodata</v>
      </c>
      <c r="I41" t="str">
        <f>IFERROR(VLOOKUP($A41,[1]data!$A$2:$G$50,5,FALSE),"nodata")</f>
        <v>nodata</v>
      </c>
      <c r="J41" t="str">
        <f>IFERROR(VLOOKUP($A41,[1]data!$A$2:$G$50,6,FALSE),"nodata")</f>
        <v>nodata</v>
      </c>
      <c r="K41" t="str">
        <f>IFERROR(VLOOKUP($A41,[1]data!$A$2:$G$50,7,FALSE),"nodata")</f>
        <v>nodata</v>
      </c>
      <c r="L41">
        <f>VLOOKUP(A41,[2]Sheet1!$A$2:$G$265,7,FALSE)</f>
        <v>4905769</v>
      </c>
      <c r="M41" t="str">
        <f t="shared" si="0"/>
        <v>nodata</v>
      </c>
    </row>
    <row r="42" spans="1:13" x14ac:dyDescent="0.2">
      <c r="A42" t="s">
        <v>46</v>
      </c>
      <c r="B42">
        <v>142</v>
      </c>
      <c r="C42">
        <v>2590</v>
      </c>
      <c r="D42">
        <v>64</v>
      </c>
      <c r="E42" t="s">
        <v>10</v>
      </c>
      <c r="F42">
        <f>IFERROR(VLOOKUP($A42,[1]data!$A$2:$G$50,2,FALSE),"nodata")</f>
        <v>321882</v>
      </c>
      <c r="G42">
        <f>IFERROR(VLOOKUP($A42,[1]data!$A$2:$G$50,3,FALSE),"nodata")</f>
        <v>221</v>
      </c>
      <c r="H42">
        <f>IFERROR(VLOOKUP($A42,[1]data!$A$2:$G$50,4,FALSE),"nodata")</f>
        <v>10325</v>
      </c>
      <c r="I42">
        <f>IFERROR(VLOOKUP($A42,[1]data!$A$2:$G$50,5,FALSE),"nodata")</f>
        <v>430</v>
      </c>
      <c r="J42">
        <f>IFERROR(VLOOKUP($A42,[1]data!$A$2:$G$50,6,FALSE),"nodata")</f>
        <v>10976</v>
      </c>
      <c r="K42">
        <f>IFERROR(VLOOKUP($A42,[1]data!$A$2:$G$50,7,FALSE),"nodata")</f>
        <v>3.4099452594429015E-2</v>
      </c>
      <c r="L42">
        <f>VLOOKUP(A42,[2]Sheet1!$A$2:$G$265,7,FALSE)</f>
        <v>24294750</v>
      </c>
      <c r="M42">
        <f t="shared" si="0"/>
        <v>4.5178485063645439E-4</v>
      </c>
    </row>
    <row r="43" spans="1:13" x14ac:dyDescent="0.2">
      <c r="A43" t="s">
        <v>47</v>
      </c>
      <c r="B43">
        <v>43</v>
      </c>
      <c r="C43">
        <v>303</v>
      </c>
      <c r="D43">
        <v>100</v>
      </c>
      <c r="E43" t="s">
        <v>6</v>
      </c>
      <c r="F43" t="str">
        <f>IFERROR(VLOOKUP($A43,[1]data!$A$2:$G$50,2,FALSE),"nodata")</f>
        <v>nodata</v>
      </c>
      <c r="G43" t="str">
        <f>IFERROR(VLOOKUP($A43,[1]data!$A$2:$G$50,3,FALSE),"nodata")</f>
        <v>nodata</v>
      </c>
      <c r="H43" t="str">
        <f>IFERROR(VLOOKUP($A43,[1]data!$A$2:$G$50,4,FALSE),"nodata")</f>
        <v>nodata</v>
      </c>
      <c r="I43" t="str">
        <f>IFERROR(VLOOKUP($A43,[1]data!$A$2:$G$50,5,FALSE),"nodata")</f>
        <v>nodata</v>
      </c>
      <c r="J43" t="str">
        <f>IFERROR(VLOOKUP($A43,[1]data!$A$2:$G$50,6,FALSE),"nodata")</f>
        <v>nodata</v>
      </c>
      <c r="K43" t="str">
        <f>IFERROR(VLOOKUP($A43,[1]data!$A$2:$G$50,7,FALSE),"nodata")</f>
        <v>nodata</v>
      </c>
      <c r="L43">
        <f>VLOOKUP(A43,[2]Sheet1!$A$2:$G$265,7,FALSE)</f>
        <v>4125700</v>
      </c>
      <c r="M43" t="str">
        <f t="shared" si="0"/>
        <v>nodata</v>
      </c>
    </row>
    <row r="44" spans="1:13" x14ac:dyDescent="0.2">
      <c r="A44" t="s">
        <v>48</v>
      </c>
      <c r="B44">
        <v>45</v>
      </c>
      <c r="C44">
        <v>130</v>
      </c>
      <c r="D44">
        <v>100</v>
      </c>
      <c r="E44" t="s">
        <v>6</v>
      </c>
      <c r="F44" t="str">
        <f>IFERROR(VLOOKUP($A44,[1]data!$A$2:$G$50,2,FALSE),"nodata")</f>
        <v>nodata</v>
      </c>
      <c r="G44" t="str">
        <f>IFERROR(VLOOKUP($A44,[1]data!$A$2:$G$50,3,FALSE),"nodata")</f>
        <v>nodata</v>
      </c>
      <c r="H44" t="str">
        <f>IFERROR(VLOOKUP($A44,[1]data!$A$2:$G$50,4,FALSE),"nodata")</f>
        <v>nodata</v>
      </c>
      <c r="I44" t="str">
        <f>IFERROR(VLOOKUP($A44,[1]data!$A$2:$G$50,5,FALSE),"nodata")</f>
        <v>nodata</v>
      </c>
      <c r="J44" t="str">
        <f>IFERROR(VLOOKUP($A44,[1]data!$A$2:$G$50,6,FALSE),"nodata")</f>
        <v>nodata</v>
      </c>
      <c r="K44" t="str">
        <f>IFERROR(VLOOKUP($A44,[1]data!$A$2:$G$50,7,FALSE),"nodata")</f>
        <v>nodata</v>
      </c>
      <c r="L44">
        <f>VLOOKUP(A44,[2]Sheet1!$A$2:$G$265,7,FALSE)</f>
        <v>1179551</v>
      </c>
      <c r="M44" t="str">
        <f t="shared" si="0"/>
        <v>nodata</v>
      </c>
    </row>
    <row r="45" spans="1:13" x14ac:dyDescent="0.2">
      <c r="A45" t="s">
        <v>49</v>
      </c>
      <c r="B45">
        <v>27</v>
      </c>
      <c r="C45">
        <v>25</v>
      </c>
      <c r="D45">
        <v>100</v>
      </c>
      <c r="E45" t="s">
        <v>6</v>
      </c>
      <c r="F45" t="str">
        <f>IFERROR(VLOOKUP($A45,[1]data!$A$2:$G$50,2,FALSE),"nodata")</f>
        <v>nodata</v>
      </c>
      <c r="G45" t="str">
        <f>IFERROR(VLOOKUP($A45,[1]data!$A$2:$G$50,3,FALSE),"nodata")</f>
        <v>nodata</v>
      </c>
      <c r="H45" t="str">
        <f>IFERROR(VLOOKUP($A45,[1]data!$A$2:$G$50,4,FALSE),"nodata")</f>
        <v>nodata</v>
      </c>
      <c r="I45" t="str">
        <f>IFERROR(VLOOKUP($A45,[1]data!$A$2:$G$50,5,FALSE),"nodata")</f>
        <v>nodata</v>
      </c>
      <c r="J45" t="str">
        <f>IFERROR(VLOOKUP($A45,[1]data!$A$2:$G$50,6,FALSE),"nodata")</f>
        <v>nodata</v>
      </c>
      <c r="K45" t="str">
        <f>IFERROR(VLOOKUP($A45,[1]data!$A$2:$G$50,7,FALSE),"nodata")</f>
        <v>nodata</v>
      </c>
      <c r="L45">
        <f>VLOOKUP(A45,[2]Sheet1!$A$2:$G$265,7,FALSE)</f>
        <v>10591323</v>
      </c>
      <c r="M45" t="str">
        <f t="shared" si="0"/>
        <v>nodata</v>
      </c>
    </row>
    <row r="46" spans="1:13" x14ac:dyDescent="0.2">
      <c r="A46" t="s">
        <v>50</v>
      </c>
      <c r="B46">
        <v>3</v>
      </c>
      <c r="C46">
        <v>109</v>
      </c>
      <c r="D46">
        <v>100</v>
      </c>
      <c r="E46" t="s">
        <v>51</v>
      </c>
      <c r="F46" t="str">
        <f>IFERROR(VLOOKUP($A46,[1]data!$A$2:$G$50,2,FALSE),"nodata")</f>
        <v>nodata</v>
      </c>
      <c r="G46" t="str">
        <f>IFERROR(VLOOKUP($A46,[1]data!$A$2:$G$50,3,FALSE),"nodata")</f>
        <v>nodata</v>
      </c>
      <c r="H46" t="str">
        <f>IFERROR(VLOOKUP($A46,[1]data!$A$2:$G$50,4,FALSE),"nodata")</f>
        <v>nodata</v>
      </c>
      <c r="I46" t="str">
        <f>IFERROR(VLOOKUP($A46,[1]data!$A$2:$G$50,5,FALSE),"nodata")</f>
        <v>nodata</v>
      </c>
      <c r="J46" t="str">
        <f>IFERROR(VLOOKUP($A46,[1]data!$A$2:$G$50,6,FALSE),"nodata")</f>
        <v>nodata</v>
      </c>
      <c r="K46" t="str">
        <f>IFERROR(VLOOKUP($A46,[1]data!$A$2:$G$50,7,FALSE),"nodata")</f>
        <v>nodata</v>
      </c>
      <c r="L46">
        <f>VLOOKUP(A46,[2]Sheet1!$A$2:$G$265,7,FALSE)</f>
        <v>5769603</v>
      </c>
      <c r="M46" t="str">
        <f t="shared" si="0"/>
        <v>nodata</v>
      </c>
    </row>
    <row r="47" spans="1:13" x14ac:dyDescent="0.2">
      <c r="A47" t="s">
        <v>52</v>
      </c>
      <c r="B47">
        <v>171</v>
      </c>
      <c r="C47">
        <v>6380</v>
      </c>
      <c r="D47">
        <v>52</v>
      </c>
      <c r="E47" t="s">
        <v>6</v>
      </c>
      <c r="F47">
        <f>IFERROR(VLOOKUP($A47,[1]data!$A$2:$G$50,2,FALSE),"nodata")</f>
        <v>21679</v>
      </c>
      <c r="G47">
        <f>IFERROR(VLOOKUP($A47,[1]data!$A$2:$G$50,3,FALSE),"nodata")</f>
        <v>852</v>
      </c>
      <c r="H47">
        <f>IFERROR(VLOOKUP($A47,[1]data!$A$2:$G$50,4,FALSE),"nodata")</f>
        <v>947</v>
      </c>
      <c r="I47">
        <f>IFERROR(VLOOKUP($A47,[1]data!$A$2:$G$50,5,FALSE),"nodata")</f>
        <v>934</v>
      </c>
      <c r="J47">
        <f>IFERROR(VLOOKUP($A47,[1]data!$A$2:$G$50,6,FALSE),"nodata")</f>
        <v>2733</v>
      </c>
      <c r="K47">
        <f>IFERROR(VLOOKUP($A47,[1]data!$A$2:$G$50,7,FALSE),"nodata")</f>
        <v>0.12606670049356519</v>
      </c>
      <c r="L47">
        <f>VLOOKUP(A47,[2]Sheet1!$A$2:$G$265,7,FALSE)</f>
        <v>956985</v>
      </c>
      <c r="M47">
        <f t="shared" si="0"/>
        <v>2.8558441354880173E-3</v>
      </c>
    </row>
    <row r="48" spans="1:13" x14ac:dyDescent="0.2">
      <c r="A48" t="s">
        <v>53</v>
      </c>
      <c r="B48">
        <v>101</v>
      </c>
      <c r="C48">
        <v>471</v>
      </c>
      <c r="D48">
        <v>100</v>
      </c>
      <c r="E48" t="s">
        <v>6</v>
      </c>
      <c r="F48" t="str">
        <f>IFERROR(VLOOKUP($A48,[1]data!$A$2:$G$50,2,FALSE),"nodata")</f>
        <v>nodata</v>
      </c>
      <c r="G48" t="str">
        <f>IFERROR(VLOOKUP($A48,[1]data!$A$2:$G$50,3,FALSE),"nodata")</f>
        <v>nodata</v>
      </c>
      <c r="H48" t="str">
        <f>IFERROR(VLOOKUP($A48,[1]data!$A$2:$G$50,4,FALSE),"nodata")</f>
        <v>nodata</v>
      </c>
      <c r="I48" t="str">
        <f>IFERROR(VLOOKUP($A48,[1]data!$A$2:$G$50,5,FALSE),"nodata")</f>
        <v>nodata</v>
      </c>
      <c r="J48" t="str">
        <f>IFERROR(VLOOKUP($A48,[1]data!$A$2:$G$50,6,FALSE),"nodata")</f>
        <v>nodata</v>
      </c>
      <c r="K48" t="str">
        <f>IFERROR(VLOOKUP($A48,[1]data!$A$2:$G$50,7,FALSE),"nodata")</f>
        <v>nodata</v>
      </c>
      <c r="L48">
        <f>VLOOKUP(A48,[2]Sheet1!$A$2:$G$265,7,FALSE)</f>
        <v>73925</v>
      </c>
      <c r="M48" t="str">
        <f t="shared" si="0"/>
        <v>nodata</v>
      </c>
    </row>
    <row r="49" spans="1:13" x14ac:dyDescent="0.2">
      <c r="A49" t="s">
        <v>54</v>
      </c>
      <c r="B49">
        <v>103</v>
      </c>
      <c r="C49">
        <v>267</v>
      </c>
      <c r="D49">
        <v>100</v>
      </c>
      <c r="E49" t="s">
        <v>6</v>
      </c>
      <c r="F49" t="str">
        <f>IFERROR(VLOOKUP($A49,[1]data!$A$2:$G$50,2,FALSE),"nodata")</f>
        <v>nodata</v>
      </c>
      <c r="G49" t="str">
        <f>IFERROR(VLOOKUP($A49,[1]data!$A$2:$G$50,3,FALSE),"nodata")</f>
        <v>nodata</v>
      </c>
      <c r="H49" t="str">
        <f>IFERROR(VLOOKUP($A49,[1]data!$A$2:$G$50,4,FALSE),"nodata")</f>
        <v>nodata</v>
      </c>
      <c r="I49" t="str">
        <f>IFERROR(VLOOKUP($A49,[1]data!$A$2:$G$50,5,FALSE),"nodata")</f>
        <v>nodata</v>
      </c>
      <c r="J49" t="str">
        <f>IFERROR(VLOOKUP($A49,[1]data!$A$2:$G$50,6,FALSE),"nodata")</f>
        <v>nodata</v>
      </c>
      <c r="K49" t="str">
        <f>IFERROR(VLOOKUP($A49,[1]data!$A$2:$G$50,7,FALSE),"nodata")</f>
        <v>nodata</v>
      </c>
      <c r="L49">
        <f>VLOOKUP(A49,[2]Sheet1!$A$2:$G$265,7,FALSE)</f>
        <v>10766998</v>
      </c>
      <c r="M49" t="str">
        <f t="shared" si="0"/>
        <v>nodata</v>
      </c>
    </row>
    <row r="50" spans="1:13" x14ac:dyDescent="0.2">
      <c r="A50" t="s">
        <v>55</v>
      </c>
      <c r="B50">
        <v>114</v>
      </c>
      <c r="C50">
        <v>606</v>
      </c>
      <c r="D50">
        <v>100</v>
      </c>
      <c r="E50" t="s">
        <v>6</v>
      </c>
      <c r="F50" t="str">
        <f>IFERROR(VLOOKUP($A50,[1]data!$A$2:$G$50,2,FALSE),"nodata")</f>
        <v>nodata</v>
      </c>
      <c r="G50" t="str">
        <f>IFERROR(VLOOKUP($A50,[1]data!$A$2:$G$50,3,FALSE),"nodata")</f>
        <v>nodata</v>
      </c>
      <c r="H50" t="str">
        <f>IFERROR(VLOOKUP($A50,[1]data!$A$2:$G$50,4,FALSE),"nodata")</f>
        <v>nodata</v>
      </c>
      <c r="I50" t="str">
        <f>IFERROR(VLOOKUP($A50,[1]data!$A$2:$G$50,5,FALSE),"nodata")</f>
        <v>nodata</v>
      </c>
      <c r="J50" t="str">
        <f>IFERROR(VLOOKUP($A50,[1]data!$A$2:$G$50,6,FALSE),"nodata")</f>
        <v>nodata</v>
      </c>
      <c r="K50" t="str">
        <f>IFERROR(VLOOKUP($A50,[1]data!$A$2:$G$50,7,FALSE),"nodata")</f>
        <v>nodata</v>
      </c>
      <c r="L50">
        <f>VLOOKUP(A50,[2]Sheet1!$A$2:$G$265,7,FALSE)</f>
        <v>16624858</v>
      </c>
      <c r="M50" t="str">
        <f t="shared" si="0"/>
        <v>nodata</v>
      </c>
    </row>
    <row r="51" spans="1:13" x14ac:dyDescent="0.2">
      <c r="A51" t="s">
        <v>56</v>
      </c>
      <c r="B51">
        <v>122</v>
      </c>
      <c r="C51">
        <v>245</v>
      </c>
      <c r="D51">
        <v>100</v>
      </c>
      <c r="E51" t="s">
        <v>6</v>
      </c>
      <c r="F51">
        <f>IFERROR(VLOOKUP($A51,[1]data!$A$2:$G$50,2,FALSE),"nodata")</f>
        <v>982446</v>
      </c>
      <c r="G51">
        <f>IFERROR(VLOOKUP($A51,[1]data!$A$2:$G$50,3,FALSE),"nodata")</f>
        <v>26605</v>
      </c>
      <c r="H51">
        <f>IFERROR(VLOOKUP($A51,[1]data!$A$2:$G$50,4,FALSE),"nodata")</f>
        <v>32218</v>
      </c>
      <c r="I51">
        <f>IFERROR(VLOOKUP($A51,[1]data!$A$2:$G$50,5,FALSE),"nodata")</f>
        <v>36601</v>
      </c>
      <c r="J51">
        <f>IFERROR(VLOOKUP($A51,[1]data!$A$2:$G$50,6,FALSE),"nodata")</f>
        <v>95424</v>
      </c>
      <c r="K51">
        <f>IFERROR(VLOOKUP($A51,[1]data!$A$2:$G$50,7,FALSE),"nodata")</f>
        <v>9.7129002510061624E-2</v>
      </c>
      <c r="L51">
        <f>VLOOKUP(A51,[2]Sheet1!$A$2:$G$265,7,FALSE)</f>
        <v>97553151</v>
      </c>
      <c r="M51">
        <f t="shared" si="0"/>
        <v>9.7817445179192619E-4</v>
      </c>
    </row>
    <row r="52" spans="1:13" x14ac:dyDescent="0.2">
      <c r="A52" t="s">
        <v>57</v>
      </c>
      <c r="B52">
        <v>95</v>
      </c>
      <c r="C52">
        <v>502</v>
      </c>
      <c r="D52">
        <v>99</v>
      </c>
      <c r="E52" t="s">
        <v>6</v>
      </c>
      <c r="F52" t="str">
        <f>IFERROR(VLOOKUP($A52,[1]data!$A$2:$G$50,2,FALSE),"nodata")</f>
        <v>nodata</v>
      </c>
      <c r="G52" t="str">
        <f>IFERROR(VLOOKUP($A52,[1]data!$A$2:$G$50,3,FALSE),"nodata")</f>
        <v>nodata</v>
      </c>
      <c r="H52" t="str">
        <f>IFERROR(VLOOKUP($A52,[1]data!$A$2:$G$50,4,FALSE),"nodata")</f>
        <v>nodata</v>
      </c>
      <c r="I52" t="str">
        <f>IFERROR(VLOOKUP($A52,[1]data!$A$2:$G$50,5,FALSE),"nodata")</f>
        <v>nodata</v>
      </c>
      <c r="J52" t="str">
        <f>IFERROR(VLOOKUP($A52,[1]data!$A$2:$G$50,6,FALSE),"nodata")</f>
        <v>nodata</v>
      </c>
      <c r="K52" t="str">
        <f>IFERROR(VLOOKUP($A52,[1]data!$A$2:$G$50,7,FALSE),"nodata")</f>
        <v>nodata</v>
      </c>
      <c r="L52">
        <f>VLOOKUP(A52,[2]Sheet1!$A$2:$G$265,7,FALSE)</f>
        <v>6377853</v>
      </c>
      <c r="M52" t="str">
        <f t="shared" si="0"/>
        <v>nodata</v>
      </c>
    </row>
    <row r="53" spans="1:13" x14ac:dyDescent="0.2">
      <c r="A53" t="s">
        <v>58</v>
      </c>
      <c r="B53">
        <v>178</v>
      </c>
      <c r="C53">
        <v>1085</v>
      </c>
      <c r="D53">
        <v>68</v>
      </c>
      <c r="E53" t="s">
        <v>10</v>
      </c>
      <c r="F53">
        <f>IFERROR(VLOOKUP($A53,[1]data!$A$2:$G$50,2,FALSE),"nodata")</f>
        <v>26987</v>
      </c>
      <c r="G53">
        <f>IFERROR(VLOOKUP($A53,[1]data!$A$2:$G$50,3,FALSE),"nodata")</f>
        <v>0</v>
      </c>
      <c r="H53">
        <f>IFERROR(VLOOKUP($A53,[1]data!$A$2:$G$50,4,FALSE),"nodata")</f>
        <v>706</v>
      </c>
      <c r="I53">
        <f>IFERROR(VLOOKUP($A53,[1]data!$A$2:$G$50,5,FALSE),"nodata")</f>
        <v>0</v>
      </c>
      <c r="J53">
        <f>IFERROR(VLOOKUP($A53,[1]data!$A$2:$G$50,6,FALSE),"nodata")</f>
        <v>706</v>
      </c>
      <c r="K53">
        <f>IFERROR(VLOOKUP($A53,[1]data!$A$2:$G$50,7,FALSE),"nodata")</f>
        <v>2.6160744061955756E-2</v>
      </c>
      <c r="L53">
        <f>VLOOKUP(A53,[2]Sheet1!$A$2:$G$265,7,FALSE)</f>
        <v>1267689</v>
      </c>
      <c r="M53">
        <f t="shared" si="0"/>
        <v>5.5691892885400131E-4</v>
      </c>
    </row>
    <row r="54" spans="1:13" x14ac:dyDescent="0.2">
      <c r="A54" t="s">
        <v>59</v>
      </c>
      <c r="B54">
        <v>189</v>
      </c>
      <c r="C54">
        <v>0</v>
      </c>
      <c r="D54">
        <v>47</v>
      </c>
      <c r="E54" t="s">
        <v>10</v>
      </c>
      <c r="F54">
        <f>IFERROR(VLOOKUP($A54,[1]data!$A$2:$G$50,2,FALSE),"nodata")</f>
        <v>122098</v>
      </c>
      <c r="G54">
        <f>IFERROR(VLOOKUP($A54,[1]data!$A$2:$G$50,3,FALSE),"nodata")</f>
        <v>4349</v>
      </c>
      <c r="H54">
        <f>IFERROR(VLOOKUP($A54,[1]data!$A$2:$G$50,4,FALSE),"nodata")</f>
        <v>4775</v>
      </c>
      <c r="I54">
        <f>IFERROR(VLOOKUP($A54,[1]data!$A$2:$G$50,5,FALSE),"nodata")</f>
        <v>3154</v>
      </c>
      <c r="J54">
        <f>IFERROR(VLOOKUP($A54,[1]data!$A$2:$G$50,6,FALSE),"nodata")</f>
        <v>12278</v>
      </c>
      <c r="K54">
        <f>IFERROR(VLOOKUP($A54,[1]data!$A$2:$G$50,7,FALSE),"nodata")</f>
        <v>0.10055856770790676</v>
      </c>
      <c r="L54">
        <f>VLOOKUP(A54,[2]Sheet1!$A$2:$G$265,7,FALSE)</f>
        <v>0</v>
      </c>
      <c r="M54" t="str">
        <f t="shared" si="0"/>
        <v>nodata</v>
      </c>
    </row>
    <row r="55" spans="1:13" x14ac:dyDescent="0.2">
      <c r="A55" t="s">
        <v>60</v>
      </c>
      <c r="B55">
        <v>12</v>
      </c>
      <c r="C55">
        <v>173</v>
      </c>
      <c r="D55">
        <v>100</v>
      </c>
      <c r="E55" t="s">
        <v>6</v>
      </c>
      <c r="F55" t="str">
        <f>IFERROR(VLOOKUP($A55,[1]data!$A$2:$G$50,2,FALSE),"nodata")</f>
        <v>nodata</v>
      </c>
      <c r="G55" t="str">
        <f>IFERROR(VLOOKUP($A55,[1]data!$A$2:$G$50,3,FALSE),"nodata")</f>
        <v>nodata</v>
      </c>
      <c r="H55" t="str">
        <f>IFERROR(VLOOKUP($A55,[1]data!$A$2:$G$50,4,FALSE),"nodata")</f>
        <v>nodata</v>
      </c>
      <c r="I55" t="str">
        <f>IFERROR(VLOOKUP($A55,[1]data!$A$2:$G$50,5,FALSE),"nodata")</f>
        <v>nodata</v>
      </c>
      <c r="J55" t="str">
        <f>IFERROR(VLOOKUP($A55,[1]data!$A$2:$G$50,6,FALSE),"nodata")</f>
        <v>nodata</v>
      </c>
      <c r="K55" t="str">
        <f>IFERROR(VLOOKUP($A55,[1]data!$A$2:$G$50,7,FALSE),"nodata")</f>
        <v>nodata</v>
      </c>
      <c r="L55">
        <f>VLOOKUP(A55,[2]Sheet1!$A$2:$G$265,7,FALSE)</f>
        <v>1315480</v>
      </c>
      <c r="M55" t="str">
        <f t="shared" si="0"/>
        <v>nodata</v>
      </c>
    </row>
    <row r="56" spans="1:13" x14ac:dyDescent="0.2">
      <c r="A56" t="s">
        <v>61</v>
      </c>
      <c r="B56">
        <v>159</v>
      </c>
      <c r="C56">
        <v>1239</v>
      </c>
      <c r="D56">
        <v>43</v>
      </c>
      <c r="E56" t="s">
        <v>10</v>
      </c>
      <c r="F56">
        <f>IFERROR(VLOOKUP($A56,[1]data!$A$2:$G$50,2,FALSE),"nodata")</f>
        <v>1127582</v>
      </c>
      <c r="G56">
        <f>IFERROR(VLOOKUP($A56,[1]data!$A$2:$G$50,3,FALSE),"nodata")</f>
        <v>22959</v>
      </c>
      <c r="H56">
        <f>IFERROR(VLOOKUP($A56,[1]data!$A$2:$G$50,4,FALSE),"nodata")</f>
        <v>27154</v>
      </c>
      <c r="I56">
        <f>IFERROR(VLOOKUP($A56,[1]data!$A$2:$G$50,5,FALSE),"nodata")</f>
        <v>14838</v>
      </c>
      <c r="J56">
        <f>IFERROR(VLOOKUP($A56,[1]data!$A$2:$G$50,6,FALSE),"nodata")</f>
        <v>64951</v>
      </c>
      <c r="K56">
        <f>IFERROR(VLOOKUP($A56,[1]data!$A$2:$G$50,7,FALSE),"nodata")</f>
        <v>5.7602019187961498E-2</v>
      </c>
      <c r="L56">
        <f>VLOOKUP(A56,[2]Sheet1!$A$2:$G$265,7,FALSE)</f>
        <v>104957438</v>
      </c>
      <c r="M56">
        <f t="shared" si="0"/>
        <v>6.1883179732340643E-4</v>
      </c>
    </row>
    <row r="57" spans="1:13" x14ac:dyDescent="0.2">
      <c r="A57" t="s">
        <v>62</v>
      </c>
      <c r="B57">
        <v>97</v>
      </c>
      <c r="C57">
        <v>1478</v>
      </c>
      <c r="D57">
        <v>99</v>
      </c>
      <c r="E57" t="s">
        <v>6</v>
      </c>
      <c r="F57" t="str">
        <f>IFERROR(VLOOKUP($A57,[1]data!$A$2:$G$50,2,FALSE),"nodata")</f>
        <v>nodata</v>
      </c>
      <c r="G57" t="str">
        <f>IFERROR(VLOOKUP($A57,[1]data!$A$2:$G$50,3,FALSE),"nodata")</f>
        <v>nodata</v>
      </c>
      <c r="H57" t="str">
        <f>IFERROR(VLOOKUP($A57,[1]data!$A$2:$G$50,4,FALSE),"nodata")</f>
        <v>nodata</v>
      </c>
      <c r="I57" t="str">
        <f>IFERROR(VLOOKUP($A57,[1]data!$A$2:$G$50,5,FALSE),"nodata")</f>
        <v>nodata</v>
      </c>
      <c r="J57" t="str">
        <f>IFERROR(VLOOKUP($A57,[1]data!$A$2:$G$50,6,FALSE),"nodata")</f>
        <v>nodata</v>
      </c>
      <c r="K57" t="str">
        <f>IFERROR(VLOOKUP($A57,[1]data!$A$2:$G$50,7,FALSE),"nodata")</f>
        <v>nodata</v>
      </c>
      <c r="L57">
        <f>VLOOKUP(A57,[2]Sheet1!$A$2:$G$265,7,FALSE)</f>
        <v>905502</v>
      </c>
      <c r="M57" t="str">
        <f t="shared" si="0"/>
        <v>nodata</v>
      </c>
    </row>
    <row r="58" spans="1:13" x14ac:dyDescent="0.2">
      <c r="A58" t="s">
        <v>63</v>
      </c>
      <c r="B58">
        <v>13</v>
      </c>
      <c r="C58">
        <v>28</v>
      </c>
      <c r="D58">
        <v>100</v>
      </c>
      <c r="E58" t="s">
        <v>6</v>
      </c>
      <c r="F58" t="str">
        <f>IFERROR(VLOOKUP($A58,[1]data!$A$2:$G$50,2,FALSE),"nodata")</f>
        <v>nodata</v>
      </c>
      <c r="G58" t="str">
        <f>IFERROR(VLOOKUP($A58,[1]data!$A$2:$G$50,3,FALSE),"nodata")</f>
        <v>nodata</v>
      </c>
      <c r="H58" t="str">
        <f>IFERROR(VLOOKUP($A58,[1]data!$A$2:$G$50,4,FALSE),"nodata")</f>
        <v>nodata</v>
      </c>
      <c r="I58" t="str">
        <f>IFERROR(VLOOKUP($A58,[1]data!$A$2:$G$50,5,FALSE),"nodata")</f>
        <v>nodata</v>
      </c>
      <c r="J58" t="str">
        <f>IFERROR(VLOOKUP($A58,[1]data!$A$2:$G$50,6,FALSE),"nodata")</f>
        <v>nodata</v>
      </c>
      <c r="K58" t="str">
        <f>IFERROR(VLOOKUP($A58,[1]data!$A$2:$G$50,7,FALSE),"nodata")</f>
        <v>nodata</v>
      </c>
      <c r="L58">
        <f>VLOOKUP(A58,[2]Sheet1!$A$2:$G$265,7,FALSE)</f>
        <v>5511303</v>
      </c>
      <c r="M58" t="str">
        <f t="shared" si="0"/>
        <v>nodata</v>
      </c>
    </row>
    <row r="59" spans="1:13" x14ac:dyDescent="0.2">
      <c r="A59" t="s">
        <v>64</v>
      </c>
      <c r="B59">
        <v>29</v>
      </c>
      <c r="C59">
        <v>6</v>
      </c>
      <c r="D59">
        <v>100</v>
      </c>
      <c r="E59" t="s">
        <v>6</v>
      </c>
      <c r="F59" t="str">
        <f>IFERROR(VLOOKUP($A59,[1]data!$A$2:$G$50,2,FALSE),"nodata")</f>
        <v>nodata</v>
      </c>
      <c r="G59" t="str">
        <f>IFERROR(VLOOKUP($A59,[1]data!$A$2:$G$50,3,FALSE),"nodata")</f>
        <v>nodata</v>
      </c>
      <c r="H59" t="str">
        <f>IFERROR(VLOOKUP($A59,[1]data!$A$2:$G$50,4,FALSE),"nodata")</f>
        <v>nodata</v>
      </c>
      <c r="I59" t="str">
        <f>IFERROR(VLOOKUP($A59,[1]data!$A$2:$G$50,5,FALSE),"nodata")</f>
        <v>nodata</v>
      </c>
      <c r="J59" t="str">
        <f>IFERROR(VLOOKUP($A59,[1]data!$A$2:$G$50,6,FALSE),"nodata")</f>
        <v>nodata</v>
      </c>
      <c r="K59" t="str">
        <f>IFERROR(VLOOKUP($A59,[1]data!$A$2:$G$50,7,FALSE),"nodata")</f>
        <v>nodata</v>
      </c>
      <c r="L59">
        <f>VLOOKUP(A59,[2]Sheet1!$A$2:$G$265,7,FALSE)</f>
        <v>67118648</v>
      </c>
      <c r="M59" t="str">
        <f t="shared" si="0"/>
        <v>nodata</v>
      </c>
    </row>
    <row r="60" spans="1:13" x14ac:dyDescent="0.2">
      <c r="A60" t="s">
        <v>65</v>
      </c>
      <c r="B60">
        <v>164</v>
      </c>
      <c r="C60">
        <v>1102</v>
      </c>
      <c r="D60">
        <v>91</v>
      </c>
      <c r="E60" t="s">
        <v>10</v>
      </c>
      <c r="F60">
        <f>IFERROR(VLOOKUP($A60,[1]data!$A$2:$G$50,2,FALSE),"nodata")</f>
        <v>264715</v>
      </c>
      <c r="G60">
        <f>IFERROR(VLOOKUP($A60,[1]data!$A$2:$G$50,3,FALSE),"nodata")</f>
        <v>6</v>
      </c>
      <c r="H60">
        <f>IFERROR(VLOOKUP($A60,[1]data!$A$2:$G$50,4,FALSE),"nodata")</f>
        <v>5402</v>
      </c>
      <c r="I60">
        <f>IFERROR(VLOOKUP($A60,[1]data!$A$2:$G$50,5,FALSE),"nodata")</f>
        <v>0</v>
      </c>
      <c r="J60">
        <f>IFERROR(VLOOKUP($A60,[1]data!$A$2:$G$50,6,FALSE),"nodata")</f>
        <v>5408</v>
      </c>
      <c r="K60">
        <f>IFERROR(VLOOKUP($A60,[1]data!$A$2:$G$50,7,FALSE),"nodata")</f>
        <v>2.0429518538805886E-2</v>
      </c>
      <c r="L60">
        <f>VLOOKUP(A60,[2]Sheet1!$A$2:$G$265,7,FALSE)</f>
        <v>2025137</v>
      </c>
      <c r="M60">
        <f t="shared" si="0"/>
        <v>2.6704366173745282E-3</v>
      </c>
    </row>
    <row r="61" spans="1:13" x14ac:dyDescent="0.2">
      <c r="A61" t="s">
        <v>66</v>
      </c>
      <c r="B61">
        <v>145</v>
      </c>
      <c r="C61">
        <v>3569</v>
      </c>
      <c r="D61">
        <v>48</v>
      </c>
      <c r="E61" t="s">
        <v>10</v>
      </c>
      <c r="F61">
        <f>IFERROR(VLOOKUP($A61,[1]data!$A$2:$G$50,2,FALSE),"nodata")</f>
        <v>10797</v>
      </c>
      <c r="G61">
        <f>IFERROR(VLOOKUP($A61,[1]data!$A$2:$G$50,3,FALSE),"nodata")</f>
        <v>316</v>
      </c>
      <c r="H61">
        <f>IFERROR(VLOOKUP($A61,[1]data!$A$2:$G$50,4,FALSE),"nodata")</f>
        <v>474</v>
      </c>
      <c r="I61">
        <f>IFERROR(VLOOKUP($A61,[1]data!$A$2:$G$50,5,FALSE),"nodata")</f>
        <v>173</v>
      </c>
      <c r="J61">
        <f>IFERROR(VLOOKUP($A61,[1]data!$A$2:$G$50,6,FALSE),"nodata")</f>
        <v>963</v>
      </c>
      <c r="K61">
        <f>IFERROR(VLOOKUP($A61,[1]data!$A$2:$G$50,7,FALSE),"nodata")</f>
        <v>8.9191442067240903E-2</v>
      </c>
      <c r="L61">
        <f>VLOOKUP(A61,[2]Sheet1!$A$2:$G$265,7,FALSE)</f>
        <v>2100568</v>
      </c>
      <c r="M61">
        <f t="shared" si="0"/>
        <v>4.584474294571754E-4</v>
      </c>
    </row>
    <row r="62" spans="1:13" x14ac:dyDescent="0.2">
      <c r="A62" t="s">
        <v>67</v>
      </c>
      <c r="B62">
        <v>16</v>
      </c>
      <c r="C62">
        <v>354</v>
      </c>
      <c r="D62">
        <v>100</v>
      </c>
      <c r="E62" t="s">
        <v>6</v>
      </c>
      <c r="F62" t="str">
        <f>IFERROR(VLOOKUP($A62,[1]data!$A$2:$G$50,2,FALSE),"nodata")</f>
        <v>nodata</v>
      </c>
      <c r="G62" t="str">
        <f>IFERROR(VLOOKUP($A62,[1]data!$A$2:$G$50,3,FALSE),"nodata")</f>
        <v>nodata</v>
      </c>
      <c r="H62" t="str">
        <f>IFERROR(VLOOKUP($A62,[1]data!$A$2:$G$50,4,FALSE),"nodata")</f>
        <v>nodata</v>
      </c>
      <c r="I62" t="str">
        <f>IFERROR(VLOOKUP($A62,[1]data!$A$2:$G$50,5,FALSE),"nodata")</f>
        <v>nodata</v>
      </c>
      <c r="J62" t="str">
        <f>IFERROR(VLOOKUP($A62,[1]data!$A$2:$G$50,6,FALSE),"nodata")</f>
        <v>nodata</v>
      </c>
      <c r="K62" t="str">
        <f>IFERROR(VLOOKUP($A62,[1]data!$A$2:$G$50,7,FALSE),"nodata")</f>
        <v>nodata</v>
      </c>
      <c r="L62">
        <f>VLOOKUP(A62,[2]Sheet1!$A$2:$G$265,7,FALSE)</f>
        <v>3717100</v>
      </c>
      <c r="M62" t="str">
        <f t="shared" si="0"/>
        <v>nodata</v>
      </c>
    </row>
    <row r="63" spans="1:13" x14ac:dyDescent="0.2">
      <c r="A63" t="s">
        <v>68</v>
      </c>
      <c r="B63">
        <v>17</v>
      </c>
      <c r="C63">
        <v>41</v>
      </c>
      <c r="D63">
        <v>100</v>
      </c>
      <c r="E63" t="s">
        <v>6</v>
      </c>
      <c r="F63" t="str">
        <f>IFERROR(VLOOKUP($A63,[1]data!$A$2:$G$50,2,FALSE),"nodata")</f>
        <v>nodata</v>
      </c>
      <c r="G63" t="str">
        <f>IFERROR(VLOOKUP($A63,[1]data!$A$2:$G$50,3,FALSE),"nodata")</f>
        <v>nodata</v>
      </c>
      <c r="H63" t="str">
        <f>IFERROR(VLOOKUP($A63,[1]data!$A$2:$G$50,4,FALSE),"nodata")</f>
        <v>nodata</v>
      </c>
      <c r="I63" t="str">
        <f>IFERROR(VLOOKUP($A63,[1]data!$A$2:$G$50,5,FALSE),"nodata")</f>
        <v>nodata</v>
      </c>
      <c r="J63" t="str">
        <f>IFERROR(VLOOKUP($A63,[1]data!$A$2:$G$50,6,FALSE),"nodata")</f>
        <v>nodata</v>
      </c>
      <c r="K63" t="str">
        <f>IFERROR(VLOOKUP($A63,[1]data!$A$2:$G$50,7,FALSE),"nodata")</f>
        <v>nodata</v>
      </c>
      <c r="L63">
        <f>VLOOKUP(A63,[2]Sheet1!$A$2:$G$265,7,FALSE)</f>
        <v>82695000</v>
      </c>
      <c r="M63" t="str">
        <f t="shared" si="0"/>
        <v>nodata</v>
      </c>
    </row>
    <row r="64" spans="1:13" x14ac:dyDescent="0.2">
      <c r="A64" t="s">
        <v>69</v>
      </c>
      <c r="B64">
        <v>108</v>
      </c>
      <c r="C64">
        <v>1266</v>
      </c>
      <c r="D64">
        <v>79</v>
      </c>
      <c r="E64" t="s">
        <v>10</v>
      </c>
      <c r="F64">
        <f>IFERROR(VLOOKUP($A64,[1]data!$A$2:$G$50,2,FALSE),"nodata")</f>
        <v>238761</v>
      </c>
      <c r="G64">
        <f>IFERROR(VLOOKUP($A64,[1]data!$A$2:$G$50,3,FALSE),"nodata")</f>
        <v>229</v>
      </c>
      <c r="H64">
        <f>IFERROR(VLOOKUP($A64,[1]data!$A$2:$G$50,4,FALSE),"nodata")</f>
        <v>7644</v>
      </c>
      <c r="I64">
        <f>IFERROR(VLOOKUP($A64,[1]data!$A$2:$G$50,5,FALSE),"nodata")</f>
        <v>606</v>
      </c>
      <c r="J64">
        <f>IFERROR(VLOOKUP($A64,[1]data!$A$2:$G$50,6,FALSE),"nodata")</f>
        <v>8479</v>
      </c>
      <c r="K64">
        <f>IFERROR(VLOOKUP($A64,[1]data!$A$2:$G$50,7,FALSE),"nodata")</f>
        <v>3.5512499947646388E-2</v>
      </c>
      <c r="L64">
        <f>VLOOKUP(A64,[2]Sheet1!$A$2:$G$265,7,FALSE)</f>
        <v>28833629</v>
      </c>
      <c r="M64">
        <f t="shared" si="0"/>
        <v>2.9406634870692136E-4</v>
      </c>
    </row>
    <row r="65" spans="1:13" x14ac:dyDescent="0.2">
      <c r="A65" t="s">
        <v>70</v>
      </c>
      <c r="B65">
        <v>61</v>
      </c>
      <c r="C65">
        <v>70</v>
      </c>
      <c r="D65">
        <v>100</v>
      </c>
      <c r="E65" t="s">
        <v>6</v>
      </c>
      <c r="F65" t="str">
        <f>IFERROR(VLOOKUP($A65,[1]data!$A$2:$G$50,2,FALSE),"nodata")</f>
        <v>nodata</v>
      </c>
      <c r="G65" t="str">
        <f>IFERROR(VLOOKUP($A65,[1]data!$A$2:$G$50,3,FALSE),"nodata")</f>
        <v>nodata</v>
      </c>
      <c r="H65" t="str">
        <f>IFERROR(VLOOKUP($A65,[1]data!$A$2:$G$50,4,FALSE),"nodata")</f>
        <v>nodata</v>
      </c>
      <c r="I65" t="str">
        <f>IFERROR(VLOOKUP($A65,[1]data!$A$2:$G$50,5,FALSE),"nodata")</f>
        <v>nodata</v>
      </c>
      <c r="J65" t="str">
        <f>IFERROR(VLOOKUP($A65,[1]data!$A$2:$G$50,6,FALSE),"nodata")</f>
        <v>nodata</v>
      </c>
      <c r="K65" t="str">
        <f>IFERROR(VLOOKUP($A65,[1]data!$A$2:$G$50,7,FALSE),"nodata")</f>
        <v>nodata</v>
      </c>
      <c r="L65">
        <f>VLOOKUP(A65,[2]Sheet1!$A$2:$G$265,7,FALSE)</f>
        <v>10760421</v>
      </c>
      <c r="M65" t="str">
        <f t="shared" si="0"/>
        <v>nodata</v>
      </c>
    </row>
    <row r="66" spans="1:13" x14ac:dyDescent="0.2">
      <c r="A66" t="s">
        <v>71</v>
      </c>
      <c r="B66">
        <v>138</v>
      </c>
      <c r="C66">
        <v>191</v>
      </c>
      <c r="D66">
        <v>92</v>
      </c>
      <c r="E66" t="s">
        <v>6</v>
      </c>
      <c r="F66" t="str">
        <f>IFERROR(VLOOKUP($A66,[1]data!$A$2:$G$50,2,FALSE),"nodata")</f>
        <v>nodata</v>
      </c>
      <c r="G66" t="str">
        <f>IFERROR(VLOOKUP($A66,[1]data!$A$2:$G$50,3,FALSE),"nodata")</f>
        <v>nodata</v>
      </c>
      <c r="H66" t="str">
        <f>IFERROR(VLOOKUP($A66,[1]data!$A$2:$G$50,4,FALSE),"nodata")</f>
        <v>nodata</v>
      </c>
      <c r="I66" t="str">
        <f>IFERROR(VLOOKUP($A66,[1]data!$A$2:$G$50,5,FALSE),"nodata")</f>
        <v>nodata</v>
      </c>
      <c r="J66" t="str">
        <f>IFERROR(VLOOKUP($A66,[1]data!$A$2:$G$50,6,FALSE),"nodata")</f>
        <v>nodata</v>
      </c>
      <c r="K66" t="str">
        <f>IFERROR(VLOOKUP($A66,[1]data!$A$2:$G$50,7,FALSE),"nodata")</f>
        <v>nodata</v>
      </c>
      <c r="L66">
        <f>VLOOKUP(A66,[2]Sheet1!$A$2:$G$265,7,FALSE)</f>
        <v>107825</v>
      </c>
      <c r="M66" t="str">
        <f t="shared" si="0"/>
        <v>nodata</v>
      </c>
    </row>
    <row r="67" spans="1:13" x14ac:dyDescent="0.2">
      <c r="A67" t="s">
        <v>72</v>
      </c>
      <c r="B67">
        <v>88</v>
      </c>
      <c r="C67">
        <v>478</v>
      </c>
      <c r="D67">
        <v>92</v>
      </c>
      <c r="E67" t="s">
        <v>6</v>
      </c>
      <c r="F67" t="str">
        <f>IFERROR(VLOOKUP($A67,[1]data!$A$2:$G$50,2,FALSE),"nodata")</f>
        <v>nodata</v>
      </c>
      <c r="G67" t="str">
        <f>IFERROR(VLOOKUP($A67,[1]data!$A$2:$G$50,3,FALSE),"nodata")</f>
        <v>nodata</v>
      </c>
      <c r="H67" t="str">
        <f>IFERROR(VLOOKUP($A67,[1]data!$A$2:$G$50,4,FALSE),"nodata")</f>
        <v>nodata</v>
      </c>
      <c r="I67" t="str">
        <f>IFERROR(VLOOKUP($A67,[1]data!$A$2:$G$50,5,FALSE),"nodata")</f>
        <v>nodata</v>
      </c>
      <c r="J67" t="str">
        <f>IFERROR(VLOOKUP($A67,[1]data!$A$2:$G$50,6,FALSE),"nodata")</f>
        <v>nodata</v>
      </c>
      <c r="K67" t="str">
        <f>IFERROR(VLOOKUP($A67,[1]data!$A$2:$G$50,7,FALSE),"nodata")</f>
        <v>nodata</v>
      </c>
      <c r="L67">
        <f>VLOOKUP(A67,[2]Sheet1!$A$2:$G$265,7,FALSE)</f>
        <v>16913503</v>
      </c>
      <c r="M67" t="str">
        <f t="shared" ref="M67:M130" si="1">IFERROR(J67/L67,"nodata")</f>
        <v>nodata</v>
      </c>
    </row>
    <row r="68" spans="1:13" x14ac:dyDescent="0.2">
      <c r="A68" t="s">
        <v>73</v>
      </c>
      <c r="B68">
        <v>163</v>
      </c>
      <c r="C68">
        <v>6636</v>
      </c>
      <c r="D68">
        <v>34</v>
      </c>
      <c r="E68" t="s">
        <v>10</v>
      </c>
      <c r="F68">
        <f>IFERROR(VLOOKUP($A68,[1]data!$A$2:$G$50,2,FALSE),"nodata")</f>
        <v>244871</v>
      </c>
      <c r="G68">
        <f>IFERROR(VLOOKUP($A68,[1]data!$A$2:$G$50,3,FALSE),"nodata")</f>
        <v>467</v>
      </c>
      <c r="H68">
        <f>IFERROR(VLOOKUP($A68,[1]data!$A$2:$G$50,4,FALSE),"nodata")</f>
        <v>5204</v>
      </c>
      <c r="I68">
        <f>IFERROR(VLOOKUP($A68,[1]data!$A$2:$G$50,5,FALSE),"nodata")</f>
        <v>2</v>
      </c>
      <c r="J68">
        <f>IFERROR(VLOOKUP($A68,[1]data!$A$2:$G$50,6,FALSE),"nodata")</f>
        <v>5673</v>
      </c>
      <c r="K68">
        <f>IFERROR(VLOOKUP($A68,[1]data!$A$2:$G$50,7,FALSE),"nodata")</f>
        <v>2.3167300333645061E-2</v>
      </c>
      <c r="L68">
        <f>VLOOKUP(A68,[2]Sheet1!$A$2:$G$265,7,FALSE)</f>
        <v>12717176</v>
      </c>
      <c r="M68">
        <f t="shared" si="1"/>
        <v>4.460896035409119E-4</v>
      </c>
    </row>
    <row r="69" spans="1:13" x14ac:dyDescent="0.2">
      <c r="A69" t="s">
        <v>74</v>
      </c>
      <c r="B69">
        <v>172</v>
      </c>
      <c r="C69">
        <v>1520</v>
      </c>
      <c r="D69">
        <v>15</v>
      </c>
      <c r="E69" t="s">
        <v>10</v>
      </c>
      <c r="F69">
        <f>IFERROR(VLOOKUP($A69,[1]data!$A$2:$G$50,2,FALSE),"nodata")</f>
        <v>33974</v>
      </c>
      <c r="G69">
        <f>IFERROR(VLOOKUP($A69,[1]data!$A$2:$G$50,3,FALSE),"nodata")</f>
        <v>906</v>
      </c>
      <c r="H69">
        <f>IFERROR(VLOOKUP($A69,[1]data!$A$2:$G$50,4,FALSE),"nodata")</f>
        <v>1493</v>
      </c>
      <c r="I69">
        <f>IFERROR(VLOOKUP($A69,[1]data!$A$2:$G$50,5,FALSE),"nodata")</f>
        <v>124</v>
      </c>
      <c r="J69">
        <f>IFERROR(VLOOKUP($A69,[1]data!$A$2:$G$50,6,FALSE),"nodata")</f>
        <v>2523</v>
      </c>
      <c r="K69">
        <f>IFERROR(VLOOKUP($A69,[1]data!$A$2:$G$50,7,FALSE),"nodata")</f>
        <v>7.4262671454641785E-2</v>
      </c>
      <c r="L69">
        <f>VLOOKUP(A69,[2]Sheet1!$A$2:$G$265,7,FALSE)</f>
        <v>1861283</v>
      </c>
      <c r="M69">
        <f t="shared" si="1"/>
        <v>1.3555165979595794E-3</v>
      </c>
    </row>
    <row r="70" spans="1:13" x14ac:dyDescent="0.2">
      <c r="A70" t="s">
        <v>75</v>
      </c>
      <c r="B70">
        <v>124</v>
      </c>
      <c r="C70">
        <v>405</v>
      </c>
      <c r="D70">
        <v>84</v>
      </c>
      <c r="E70" t="s">
        <v>6</v>
      </c>
      <c r="F70" t="str">
        <f>IFERROR(VLOOKUP($A70,[1]data!$A$2:$G$50,2,FALSE),"nodata")</f>
        <v>nodata</v>
      </c>
      <c r="G70" t="str">
        <f>IFERROR(VLOOKUP($A70,[1]data!$A$2:$G$50,3,FALSE),"nodata")</f>
        <v>nodata</v>
      </c>
      <c r="H70" t="str">
        <f>IFERROR(VLOOKUP($A70,[1]data!$A$2:$G$50,4,FALSE),"nodata")</f>
        <v>nodata</v>
      </c>
      <c r="I70" t="str">
        <f>IFERROR(VLOOKUP($A70,[1]data!$A$2:$G$50,5,FALSE),"nodata")</f>
        <v>nodata</v>
      </c>
      <c r="J70" t="str">
        <f>IFERROR(VLOOKUP($A70,[1]data!$A$2:$G$50,6,FALSE),"nodata")</f>
        <v>nodata</v>
      </c>
      <c r="K70" t="str">
        <f>IFERROR(VLOOKUP($A70,[1]data!$A$2:$G$50,7,FALSE),"nodata")</f>
        <v>nodata</v>
      </c>
      <c r="L70">
        <f>VLOOKUP(A70,[2]Sheet1!$A$2:$G$265,7,FALSE)</f>
        <v>777859</v>
      </c>
      <c r="M70" t="str">
        <f t="shared" si="1"/>
        <v>nodata</v>
      </c>
    </row>
    <row r="71" spans="1:13" x14ac:dyDescent="0.2">
      <c r="A71" t="s">
        <v>76</v>
      </c>
      <c r="B71">
        <v>181</v>
      </c>
      <c r="C71">
        <v>3709</v>
      </c>
      <c r="D71">
        <v>39</v>
      </c>
      <c r="E71" t="s">
        <v>6</v>
      </c>
      <c r="F71" t="str">
        <f>IFERROR(VLOOKUP($A71,[1]data!$A$2:$G$50,2,FALSE),"nodata")</f>
        <v>nodata</v>
      </c>
      <c r="G71" t="str">
        <f>IFERROR(VLOOKUP($A71,[1]data!$A$2:$G$50,3,FALSE),"nodata")</f>
        <v>nodata</v>
      </c>
      <c r="H71" t="str">
        <f>IFERROR(VLOOKUP($A71,[1]data!$A$2:$G$50,4,FALSE),"nodata")</f>
        <v>nodata</v>
      </c>
      <c r="I71" t="str">
        <f>IFERROR(VLOOKUP($A71,[1]data!$A$2:$G$50,5,FALSE),"nodata")</f>
        <v>nodata</v>
      </c>
      <c r="J71" t="str">
        <f>IFERROR(VLOOKUP($A71,[1]data!$A$2:$G$50,6,FALSE),"nodata")</f>
        <v>nodata</v>
      </c>
      <c r="K71" t="str">
        <f>IFERROR(VLOOKUP($A71,[1]data!$A$2:$G$50,7,FALSE),"nodata")</f>
        <v>nodata</v>
      </c>
      <c r="L71">
        <f>VLOOKUP(A71,[2]Sheet1!$A$2:$G$265,7,FALSE)</f>
        <v>10981229</v>
      </c>
      <c r="M71" t="str">
        <f t="shared" si="1"/>
        <v>nodata</v>
      </c>
    </row>
    <row r="72" spans="1:13" x14ac:dyDescent="0.2">
      <c r="A72" t="s">
        <v>77</v>
      </c>
      <c r="B72">
        <v>105</v>
      </c>
      <c r="C72">
        <v>775</v>
      </c>
      <c r="D72">
        <v>88</v>
      </c>
      <c r="E72" t="s">
        <v>6</v>
      </c>
      <c r="F72" t="str">
        <f>IFERROR(VLOOKUP($A72,[1]data!$A$2:$G$50,2,FALSE),"nodata")</f>
        <v>nodata</v>
      </c>
      <c r="G72" t="str">
        <f>IFERROR(VLOOKUP($A72,[1]data!$A$2:$G$50,3,FALSE),"nodata")</f>
        <v>nodata</v>
      </c>
      <c r="H72" t="str">
        <f>IFERROR(VLOOKUP($A72,[1]data!$A$2:$G$50,4,FALSE),"nodata")</f>
        <v>nodata</v>
      </c>
      <c r="I72" t="str">
        <f>IFERROR(VLOOKUP($A72,[1]data!$A$2:$G$50,5,FALSE),"nodata")</f>
        <v>nodata</v>
      </c>
      <c r="J72" t="str">
        <f>IFERROR(VLOOKUP($A72,[1]data!$A$2:$G$50,6,FALSE),"nodata")</f>
        <v>nodata</v>
      </c>
      <c r="K72" t="str">
        <f>IFERROR(VLOOKUP($A72,[1]data!$A$2:$G$50,7,FALSE),"nodata")</f>
        <v>nodata</v>
      </c>
      <c r="L72">
        <f>VLOOKUP(A72,[2]Sheet1!$A$2:$G$265,7,FALSE)</f>
        <v>9265067</v>
      </c>
      <c r="M72" t="str">
        <f t="shared" si="1"/>
        <v>nodata</v>
      </c>
    </row>
    <row r="73" spans="1:13" x14ac:dyDescent="0.2">
      <c r="A73" t="s">
        <v>78</v>
      </c>
      <c r="B73">
        <v>4</v>
      </c>
      <c r="C73">
        <v>1</v>
      </c>
      <c r="D73">
        <v>100</v>
      </c>
      <c r="E73" t="s">
        <v>51</v>
      </c>
      <c r="F73" t="str">
        <f>IFERROR(VLOOKUP($A73,[1]data!$A$2:$G$50,2,FALSE),"nodata")</f>
        <v>nodata</v>
      </c>
      <c r="G73" t="str">
        <f>IFERROR(VLOOKUP($A73,[1]data!$A$2:$G$50,3,FALSE),"nodata")</f>
        <v>nodata</v>
      </c>
      <c r="H73" t="str">
        <f>IFERROR(VLOOKUP($A73,[1]data!$A$2:$G$50,4,FALSE),"nodata")</f>
        <v>nodata</v>
      </c>
      <c r="I73" t="str">
        <f>IFERROR(VLOOKUP($A73,[1]data!$A$2:$G$50,5,FALSE),"nodata")</f>
        <v>nodata</v>
      </c>
      <c r="J73" t="str">
        <f>IFERROR(VLOOKUP($A73,[1]data!$A$2:$G$50,6,FALSE),"nodata")</f>
        <v>nodata</v>
      </c>
      <c r="K73" t="str">
        <f>IFERROR(VLOOKUP($A73,[1]data!$A$2:$G$50,7,FALSE),"nodata")</f>
        <v>nodata</v>
      </c>
      <c r="L73">
        <f>VLOOKUP(A73,[2]Sheet1!$A$2:$G$265,7,FALSE)</f>
        <v>7391700</v>
      </c>
      <c r="M73" t="str">
        <f t="shared" si="1"/>
        <v>nodata</v>
      </c>
    </row>
    <row r="74" spans="1:13" x14ac:dyDescent="0.2">
      <c r="A74" t="s">
        <v>79</v>
      </c>
      <c r="B74">
        <v>41</v>
      </c>
      <c r="C74">
        <v>94</v>
      </c>
      <c r="D74">
        <v>100</v>
      </c>
      <c r="E74" t="s">
        <v>6</v>
      </c>
      <c r="F74" t="str">
        <f>IFERROR(VLOOKUP($A74,[1]data!$A$2:$G$50,2,FALSE),"nodata")</f>
        <v>nodata</v>
      </c>
      <c r="G74" t="str">
        <f>IFERROR(VLOOKUP($A74,[1]data!$A$2:$G$50,3,FALSE),"nodata")</f>
        <v>nodata</v>
      </c>
      <c r="H74" t="str">
        <f>IFERROR(VLOOKUP($A74,[1]data!$A$2:$G$50,4,FALSE),"nodata")</f>
        <v>nodata</v>
      </c>
      <c r="I74" t="str">
        <f>IFERROR(VLOOKUP($A74,[1]data!$A$2:$G$50,5,FALSE),"nodata")</f>
        <v>nodata</v>
      </c>
      <c r="J74" t="str">
        <f>IFERROR(VLOOKUP($A74,[1]data!$A$2:$G$50,6,FALSE),"nodata")</f>
        <v>nodata</v>
      </c>
      <c r="K74" t="str">
        <f>IFERROR(VLOOKUP($A74,[1]data!$A$2:$G$50,7,FALSE),"nodata")</f>
        <v>nodata</v>
      </c>
      <c r="L74">
        <f>VLOOKUP(A74,[2]Sheet1!$A$2:$G$265,7,FALSE)</f>
        <v>9781127</v>
      </c>
      <c r="M74" t="str">
        <f t="shared" si="1"/>
        <v>nodata</v>
      </c>
    </row>
    <row r="75" spans="1:13" x14ac:dyDescent="0.2">
      <c r="A75" t="s">
        <v>80</v>
      </c>
      <c r="B75">
        <v>20</v>
      </c>
      <c r="C75">
        <v>11</v>
      </c>
      <c r="D75">
        <v>100</v>
      </c>
      <c r="E75" t="s">
        <v>6</v>
      </c>
      <c r="F75" t="str">
        <f>IFERROR(VLOOKUP($A75,[1]data!$A$2:$G$50,2,FALSE),"nodata")</f>
        <v>nodata</v>
      </c>
      <c r="G75" t="str">
        <f>IFERROR(VLOOKUP($A75,[1]data!$A$2:$G$50,3,FALSE),"nodata")</f>
        <v>nodata</v>
      </c>
      <c r="H75" t="str">
        <f>IFERROR(VLOOKUP($A75,[1]data!$A$2:$G$50,4,FALSE),"nodata")</f>
        <v>nodata</v>
      </c>
      <c r="I75" t="str">
        <f>IFERROR(VLOOKUP($A75,[1]data!$A$2:$G$50,5,FALSE),"nodata")</f>
        <v>nodata</v>
      </c>
      <c r="J75" t="str">
        <f>IFERROR(VLOOKUP($A75,[1]data!$A$2:$G$50,6,FALSE),"nodata")</f>
        <v>nodata</v>
      </c>
      <c r="K75" t="str">
        <f>IFERROR(VLOOKUP($A75,[1]data!$A$2:$G$50,7,FALSE),"nodata")</f>
        <v>nodata</v>
      </c>
      <c r="L75">
        <f>VLOOKUP(A75,[2]Sheet1!$A$2:$G$265,7,FALSE)</f>
        <v>341284</v>
      </c>
      <c r="M75" t="str">
        <f t="shared" si="1"/>
        <v>nodata</v>
      </c>
    </row>
    <row r="76" spans="1:13" x14ac:dyDescent="0.2">
      <c r="A76" t="s">
        <v>81</v>
      </c>
      <c r="B76">
        <v>130</v>
      </c>
      <c r="C76">
        <v>109</v>
      </c>
      <c r="D76">
        <v>85</v>
      </c>
      <c r="E76" t="s">
        <v>6</v>
      </c>
      <c r="F76" t="str">
        <f>IFERROR(VLOOKUP($A76,[1]data!$A$2:$G$50,2,FALSE),"nodata")</f>
        <v>nodata</v>
      </c>
      <c r="G76" t="str">
        <f>IFERROR(VLOOKUP($A76,[1]data!$A$2:$G$50,3,FALSE),"nodata")</f>
        <v>nodata</v>
      </c>
      <c r="H76" t="str">
        <f>IFERROR(VLOOKUP($A76,[1]data!$A$2:$G$50,4,FALSE),"nodata")</f>
        <v>nodata</v>
      </c>
      <c r="I76" t="str">
        <f>IFERROR(VLOOKUP($A76,[1]data!$A$2:$G$50,5,FALSE),"nodata")</f>
        <v>nodata</v>
      </c>
      <c r="J76" t="str">
        <f>IFERROR(VLOOKUP($A76,[1]data!$A$2:$G$50,6,FALSE),"nodata")</f>
        <v>nodata</v>
      </c>
      <c r="K76" t="str">
        <f>IFERROR(VLOOKUP($A76,[1]data!$A$2:$G$50,7,FALSE),"nodata")</f>
        <v>nodata</v>
      </c>
      <c r="L76">
        <f>VLOOKUP(A76,[2]Sheet1!$A$2:$G$265,7,FALSE)</f>
        <v>1339180127</v>
      </c>
      <c r="M76" t="str">
        <f t="shared" si="1"/>
        <v>nodata</v>
      </c>
    </row>
    <row r="77" spans="1:13" x14ac:dyDescent="0.2">
      <c r="A77" t="s">
        <v>82</v>
      </c>
      <c r="B77">
        <v>91</v>
      </c>
      <c r="C77">
        <v>357</v>
      </c>
      <c r="D77">
        <v>98</v>
      </c>
      <c r="E77" t="s">
        <v>6</v>
      </c>
      <c r="F77" t="str">
        <f>IFERROR(VLOOKUP($A77,[1]data!$A$2:$G$50,2,FALSE),"nodata")</f>
        <v>nodata</v>
      </c>
      <c r="G77" t="str">
        <f>IFERROR(VLOOKUP($A77,[1]data!$A$2:$G$50,3,FALSE),"nodata")</f>
        <v>nodata</v>
      </c>
      <c r="H77" t="str">
        <f>IFERROR(VLOOKUP($A77,[1]data!$A$2:$G$50,4,FALSE),"nodata")</f>
        <v>nodata</v>
      </c>
      <c r="I77" t="str">
        <f>IFERROR(VLOOKUP($A77,[1]data!$A$2:$G$50,5,FALSE),"nodata")</f>
        <v>nodata</v>
      </c>
      <c r="J77" t="str">
        <f>IFERROR(VLOOKUP($A77,[1]data!$A$2:$G$50,6,FALSE),"nodata")</f>
        <v>nodata</v>
      </c>
      <c r="K77" t="str">
        <f>IFERROR(VLOOKUP($A77,[1]data!$A$2:$G$50,7,FALSE),"nodata")</f>
        <v>nodata</v>
      </c>
      <c r="L77">
        <f>VLOOKUP(A77,[2]Sheet1!$A$2:$G$265,7,FALSE)</f>
        <v>263991379</v>
      </c>
      <c r="M77" t="str">
        <f t="shared" si="1"/>
        <v>nodata</v>
      </c>
    </row>
    <row r="78" spans="1:13" x14ac:dyDescent="0.2">
      <c r="A78" t="s">
        <v>83</v>
      </c>
      <c r="B78">
        <v>120</v>
      </c>
      <c r="C78">
        <v>829</v>
      </c>
      <c r="D78">
        <v>100</v>
      </c>
      <c r="E78" t="s">
        <v>6</v>
      </c>
      <c r="F78" t="str">
        <f>IFERROR(VLOOKUP($A78,[1]data!$A$2:$G$50,2,FALSE),"nodata")</f>
        <v>nodata</v>
      </c>
      <c r="G78" t="str">
        <f>IFERROR(VLOOKUP($A78,[1]data!$A$2:$G$50,3,FALSE),"nodata")</f>
        <v>nodata</v>
      </c>
      <c r="H78" t="str">
        <f>IFERROR(VLOOKUP($A78,[1]data!$A$2:$G$50,4,FALSE),"nodata")</f>
        <v>nodata</v>
      </c>
      <c r="I78" t="str">
        <f>IFERROR(VLOOKUP($A78,[1]data!$A$2:$G$50,5,FALSE),"nodata")</f>
        <v>nodata</v>
      </c>
      <c r="J78" t="str">
        <f>IFERROR(VLOOKUP($A78,[1]data!$A$2:$G$50,6,FALSE),"nodata")</f>
        <v>nodata</v>
      </c>
      <c r="K78" t="str">
        <f>IFERROR(VLOOKUP($A78,[1]data!$A$2:$G$50,7,FALSE),"nodata")</f>
        <v>nodata</v>
      </c>
      <c r="L78">
        <f>VLOOKUP(A78,[2]Sheet1!$A$2:$G$265,7,FALSE)</f>
        <v>81162788</v>
      </c>
      <c r="M78" t="str">
        <f t="shared" si="1"/>
        <v>nodata</v>
      </c>
    </row>
    <row r="79" spans="1:13" x14ac:dyDescent="0.2">
      <c r="A79" t="s">
        <v>84</v>
      </c>
      <c r="B79">
        <v>165</v>
      </c>
      <c r="C79">
        <v>469</v>
      </c>
      <c r="D79">
        <v>100</v>
      </c>
      <c r="E79" t="s">
        <v>6</v>
      </c>
      <c r="F79" t="str">
        <f>IFERROR(VLOOKUP($A79,[1]data!$A$2:$G$50,2,FALSE),"nodata")</f>
        <v>nodata</v>
      </c>
      <c r="G79" t="str">
        <f>IFERROR(VLOOKUP($A79,[1]data!$A$2:$G$50,3,FALSE),"nodata")</f>
        <v>nodata</v>
      </c>
      <c r="H79" t="str">
        <f>IFERROR(VLOOKUP($A79,[1]data!$A$2:$G$50,4,FALSE),"nodata")</f>
        <v>nodata</v>
      </c>
      <c r="I79" t="str">
        <f>IFERROR(VLOOKUP($A79,[1]data!$A$2:$G$50,5,FALSE),"nodata")</f>
        <v>nodata</v>
      </c>
      <c r="J79" t="str">
        <f>IFERROR(VLOOKUP($A79,[1]data!$A$2:$G$50,6,FALSE),"nodata")</f>
        <v>nodata</v>
      </c>
      <c r="K79" t="str">
        <f>IFERROR(VLOOKUP($A79,[1]data!$A$2:$G$50,7,FALSE),"nodata")</f>
        <v>nodata</v>
      </c>
      <c r="L79">
        <f>VLOOKUP(A79,[2]Sheet1!$A$2:$G$265,7,FALSE)</f>
        <v>38274618</v>
      </c>
      <c r="M79" t="str">
        <f t="shared" si="1"/>
        <v>nodata</v>
      </c>
    </row>
    <row r="80" spans="1:13" x14ac:dyDescent="0.2">
      <c r="A80" t="s">
        <v>85</v>
      </c>
      <c r="B80">
        <v>18</v>
      </c>
      <c r="C80">
        <v>62</v>
      </c>
      <c r="D80">
        <v>100</v>
      </c>
      <c r="E80" t="s">
        <v>6</v>
      </c>
      <c r="F80" t="str">
        <f>IFERROR(VLOOKUP($A80,[1]data!$A$2:$G$50,2,FALSE),"nodata")</f>
        <v>nodata</v>
      </c>
      <c r="G80" t="str">
        <f>IFERROR(VLOOKUP($A80,[1]data!$A$2:$G$50,3,FALSE),"nodata")</f>
        <v>nodata</v>
      </c>
      <c r="H80" t="str">
        <f>IFERROR(VLOOKUP($A80,[1]data!$A$2:$G$50,4,FALSE),"nodata")</f>
        <v>nodata</v>
      </c>
      <c r="I80" t="str">
        <f>IFERROR(VLOOKUP($A80,[1]data!$A$2:$G$50,5,FALSE),"nodata")</f>
        <v>nodata</v>
      </c>
      <c r="J80" t="str">
        <f>IFERROR(VLOOKUP($A80,[1]data!$A$2:$G$50,6,FALSE),"nodata")</f>
        <v>nodata</v>
      </c>
      <c r="K80" t="str">
        <f>IFERROR(VLOOKUP($A80,[1]data!$A$2:$G$50,7,FALSE),"nodata")</f>
        <v>nodata</v>
      </c>
      <c r="L80">
        <f>VLOOKUP(A80,[2]Sheet1!$A$2:$G$265,7,FALSE)</f>
        <v>4813608</v>
      </c>
      <c r="M80" t="str">
        <f t="shared" si="1"/>
        <v>nodata</v>
      </c>
    </row>
    <row r="81" spans="1:13" x14ac:dyDescent="0.2">
      <c r="A81" t="s">
        <v>86</v>
      </c>
      <c r="B81">
        <v>52</v>
      </c>
      <c r="C81">
        <v>15</v>
      </c>
      <c r="D81">
        <v>100</v>
      </c>
      <c r="E81" t="s">
        <v>6</v>
      </c>
      <c r="F81" t="str">
        <f>IFERROR(VLOOKUP($A81,[1]data!$A$2:$G$50,2,FALSE),"nodata")</f>
        <v>nodata</v>
      </c>
      <c r="G81" t="str">
        <f>IFERROR(VLOOKUP($A81,[1]data!$A$2:$G$50,3,FALSE),"nodata")</f>
        <v>nodata</v>
      </c>
      <c r="H81" t="str">
        <f>IFERROR(VLOOKUP($A81,[1]data!$A$2:$G$50,4,FALSE),"nodata")</f>
        <v>nodata</v>
      </c>
      <c r="I81" t="str">
        <f>IFERROR(VLOOKUP($A81,[1]data!$A$2:$G$50,5,FALSE),"nodata")</f>
        <v>nodata</v>
      </c>
      <c r="J81" t="str">
        <f>IFERROR(VLOOKUP($A81,[1]data!$A$2:$G$50,6,FALSE),"nodata")</f>
        <v>nodata</v>
      </c>
      <c r="K81" t="str">
        <f>IFERROR(VLOOKUP($A81,[1]data!$A$2:$G$50,7,FALSE),"nodata")</f>
        <v>nodata</v>
      </c>
      <c r="L81">
        <f>VLOOKUP(A81,[2]Sheet1!$A$2:$G$265,7,FALSE)</f>
        <v>8712400</v>
      </c>
      <c r="M81" t="str">
        <f t="shared" si="1"/>
        <v>nodata</v>
      </c>
    </row>
    <row r="82" spans="1:13" x14ac:dyDescent="0.2">
      <c r="A82" t="s">
        <v>87</v>
      </c>
      <c r="B82">
        <v>50</v>
      </c>
      <c r="C82">
        <v>158</v>
      </c>
      <c r="D82">
        <v>100</v>
      </c>
      <c r="E82" t="s">
        <v>6</v>
      </c>
      <c r="F82" t="str">
        <f>IFERROR(VLOOKUP($A82,[1]data!$A$2:$G$50,2,FALSE),"nodata")</f>
        <v>nodata</v>
      </c>
      <c r="G82" t="str">
        <f>IFERROR(VLOOKUP($A82,[1]data!$A$2:$G$50,3,FALSE),"nodata")</f>
        <v>nodata</v>
      </c>
      <c r="H82" t="str">
        <f>IFERROR(VLOOKUP($A82,[1]data!$A$2:$G$50,4,FALSE),"nodata")</f>
        <v>nodata</v>
      </c>
      <c r="I82" t="str">
        <f>IFERROR(VLOOKUP($A82,[1]data!$A$2:$G$50,5,FALSE),"nodata")</f>
        <v>nodata</v>
      </c>
      <c r="J82" t="str">
        <f>IFERROR(VLOOKUP($A82,[1]data!$A$2:$G$50,6,FALSE),"nodata")</f>
        <v>nodata</v>
      </c>
      <c r="K82" t="str">
        <f>IFERROR(VLOOKUP($A82,[1]data!$A$2:$G$50,7,FALSE),"nodata")</f>
        <v>nodata</v>
      </c>
      <c r="L82">
        <f>VLOOKUP(A82,[2]Sheet1!$A$2:$G$265,7,FALSE)</f>
        <v>60551416</v>
      </c>
      <c r="M82" t="str">
        <f t="shared" si="1"/>
        <v>nodata</v>
      </c>
    </row>
    <row r="83" spans="1:13" x14ac:dyDescent="0.2">
      <c r="A83" t="s">
        <v>88</v>
      </c>
      <c r="B83">
        <v>67</v>
      </c>
      <c r="C83">
        <v>232</v>
      </c>
      <c r="D83">
        <v>98</v>
      </c>
      <c r="E83" t="s">
        <v>6</v>
      </c>
      <c r="F83" t="str">
        <f>IFERROR(VLOOKUP($A83,[1]data!$A$2:$G$50,2,FALSE),"nodata")</f>
        <v>nodata</v>
      </c>
      <c r="G83" t="str">
        <f>IFERROR(VLOOKUP($A83,[1]data!$A$2:$G$50,3,FALSE),"nodata")</f>
        <v>nodata</v>
      </c>
      <c r="H83" t="str">
        <f>IFERROR(VLOOKUP($A83,[1]data!$A$2:$G$50,4,FALSE),"nodata")</f>
        <v>nodata</v>
      </c>
      <c r="I83" t="str">
        <f>IFERROR(VLOOKUP($A83,[1]data!$A$2:$G$50,5,FALSE),"nodata")</f>
        <v>nodata</v>
      </c>
      <c r="J83" t="str">
        <f>IFERROR(VLOOKUP($A83,[1]data!$A$2:$G$50,6,FALSE),"nodata")</f>
        <v>nodata</v>
      </c>
      <c r="K83" t="str">
        <f>IFERROR(VLOOKUP($A83,[1]data!$A$2:$G$50,7,FALSE),"nodata")</f>
        <v>nodata</v>
      </c>
      <c r="L83">
        <f>VLOOKUP(A83,[2]Sheet1!$A$2:$G$265,7,FALSE)</f>
        <v>2890299</v>
      </c>
      <c r="M83" t="str">
        <f t="shared" si="1"/>
        <v>nodata</v>
      </c>
    </row>
    <row r="84" spans="1:13" x14ac:dyDescent="0.2">
      <c r="A84" t="s">
        <v>89</v>
      </c>
      <c r="B84">
        <v>34</v>
      </c>
      <c r="C84">
        <v>0</v>
      </c>
      <c r="D84">
        <v>100</v>
      </c>
      <c r="E84" t="s">
        <v>6</v>
      </c>
      <c r="F84" t="str">
        <f>IFERROR(VLOOKUP($A84,[1]data!$A$2:$G$50,2,FALSE),"nodata")</f>
        <v>nodata</v>
      </c>
      <c r="G84" t="str">
        <f>IFERROR(VLOOKUP($A84,[1]data!$A$2:$G$50,3,FALSE),"nodata")</f>
        <v>nodata</v>
      </c>
      <c r="H84" t="str">
        <f>IFERROR(VLOOKUP($A84,[1]data!$A$2:$G$50,4,FALSE),"nodata")</f>
        <v>nodata</v>
      </c>
      <c r="I84" t="str">
        <f>IFERROR(VLOOKUP($A84,[1]data!$A$2:$G$50,5,FALSE),"nodata")</f>
        <v>nodata</v>
      </c>
      <c r="J84" t="str">
        <f>IFERROR(VLOOKUP($A84,[1]data!$A$2:$G$50,6,FALSE),"nodata")</f>
        <v>nodata</v>
      </c>
      <c r="K84" t="str">
        <f>IFERROR(VLOOKUP($A84,[1]data!$A$2:$G$50,7,FALSE),"nodata")</f>
        <v>nodata</v>
      </c>
      <c r="L84">
        <f>VLOOKUP(A84,[2]Sheet1!$A$2:$G$265,7,FALSE)</f>
        <v>126785797</v>
      </c>
      <c r="M84" t="str">
        <f t="shared" si="1"/>
        <v>nodata</v>
      </c>
    </row>
    <row r="85" spans="1:13" x14ac:dyDescent="0.2">
      <c r="A85" t="s">
        <v>90</v>
      </c>
      <c r="B85">
        <v>118</v>
      </c>
      <c r="C85">
        <v>325</v>
      </c>
      <c r="D85">
        <v>100</v>
      </c>
      <c r="E85" t="s">
        <v>6</v>
      </c>
      <c r="F85" t="str">
        <f>IFERROR(VLOOKUP($A85,[1]data!$A$2:$G$50,2,FALSE),"nodata")</f>
        <v>nodata</v>
      </c>
      <c r="G85" t="str">
        <f>IFERROR(VLOOKUP($A85,[1]data!$A$2:$G$50,3,FALSE),"nodata")</f>
        <v>nodata</v>
      </c>
      <c r="H85" t="str">
        <f>IFERROR(VLOOKUP($A85,[1]data!$A$2:$G$50,4,FALSE),"nodata")</f>
        <v>nodata</v>
      </c>
      <c r="I85" t="str">
        <f>IFERROR(VLOOKUP($A85,[1]data!$A$2:$G$50,5,FALSE),"nodata")</f>
        <v>nodata</v>
      </c>
      <c r="J85" t="str">
        <f>IFERROR(VLOOKUP($A85,[1]data!$A$2:$G$50,6,FALSE),"nodata")</f>
        <v>nodata</v>
      </c>
      <c r="K85" t="str">
        <f>IFERROR(VLOOKUP($A85,[1]data!$A$2:$G$50,7,FALSE),"nodata")</f>
        <v>nodata</v>
      </c>
      <c r="L85">
        <f>VLOOKUP(A85,[2]Sheet1!$A$2:$G$265,7,FALSE)</f>
        <v>9702353</v>
      </c>
      <c r="M85" t="str">
        <f t="shared" si="1"/>
        <v>nodata</v>
      </c>
    </row>
    <row r="86" spans="1:13" x14ac:dyDescent="0.2">
      <c r="A86" t="s">
        <v>91</v>
      </c>
      <c r="B86">
        <v>35</v>
      </c>
      <c r="C86">
        <v>51</v>
      </c>
      <c r="D86">
        <v>100</v>
      </c>
      <c r="E86" t="s">
        <v>6</v>
      </c>
      <c r="F86" t="str">
        <f>IFERROR(VLOOKUP($A86,[1]data!$A$2:$G$50,2,FALSE),"nodata")</f>
        <v>nodata</v>
      </c>
      <c r="G86" t="str">
        <f>IFERROR(VLOOKUP($A86,[1]data!$A$2:$G$50,3,FALSE),"nodata")</f>
        <v>nodata</v>
      </c>
      <c r="H86" t="str">
        <f>IFERROR(VLOOKUP($A86,[1]data!$A$2:$G$50,4,FALSE),"nodata")</f>
        <v>nodata</v>
      </c>
      <c r="I86" t="str">
        <f>IFERROR(VLOOKUP($A86,[1]data!$A$2:$G$50,5,FALSE),"nodata")</f>
        <v>nodata</v>
      </c>
      <c r="J86" t="str">
        <f>IFERROR(VLOOKUP($A86,[1]data!$A$2:$G$50,6,FALSE),"nodata")</f>
        <v>nodata</v>
      </c>
      <c r="K86" t="str">
        <f>IFERROR(VLOOKUP($A86,[1]data!$A$2:$G$50,7,FALSE),"nodata")</f>
        <v>nodata</v>
      </c>
      <c r="L86">
        <f>VLOOKUP(A86,[2]Sheet1!$A$2:$G$265,7,FALSE)</f>
        <v>18037646</v>
      </c>
      <c r="M86" t="str">
        <f t="shared" si="1"/>
        <v>nodata</v>
      </c>
    </row>
    <row r="87" spans="1:13" x14ac:dyDescent="0.2">
      <c r="A87" t="s">
        <v>92</v>
      </c>
      <c r="B87">
        <v>92</v>
      </c>
      <c r="C87">
        <v>642</v>
      </c>
      <c r="D87">
        <v>56</v>
      </c>
      <c r="E87" t="s">
        <v>10</v>
      </c>
      <c r="F87">
        <f>IFERROR(VLOOKUP($A87,[1]data!$A$2:$G$50,2,FALSE),"nodata")</f>
        <v>582253</v>
      </c>
      <c r="G87">
        <f>IFERROR(VLOOKUP($A87,[1]data!$A$2:$G$50,3,FALSE),"nodata")</f>
        <v>15399</v>
      </c>
      <c r="H87">
        <f>IFERROR(VLOOKUP($A87,[1]data!$A$2:$G$50,4,FALSE),"nodata")</f>
        <v>23046</v>
      </c>
      <c r="I87">
        <f>IFERROR(VLOOKUP($A87,[1]data!$A$2:$G$50,5,FALSE),"nodata")</f>
        <v>22476</v>
      </c>
      <c r="J87">
        <f>IFERROR(VLOOKUP($A87,[1]data!$A$2:$G$50,6,FALSE),"nodata")</f>
        <v>60921</v>
      </c>
      <c r="K87">
        <f>IFERROR(VLOOKUP($A87,[1]data!$A$2:$G$50,7,FALSE),"nodata")</f>
        <v>0.10462977434208154</v>
      </c>
      <c r="L87">
        <f>VLOOKUP(A87,[2]Sheet1!$A$2:$G$265,7,FALSE)</f>
        <v>49699862</v>
      </c>
      <c r="M87">
        <f t="shared" si="1"/>
        <v>1.2257780514561591E-3</v>
      </c>
    </row>
    <row r="88" spans="1:13" x14ac:dyDescent="0.2">
      <c r="A88" t="s">
        <v>93</v>
      </c>
      <c r="B88">
        <v>152</v>
      </c>
      <c r="C88">
        <v>3229</v>
      </c>
      <c r="D88">
        <v>85</v>
      </c>
      <c r="E88" t="s">
        <v>6</v>
      </c>
      <c r="F88" t="str">
        <f>IFERROR(VLOOKUP($A88,[1]data!$A$2:$G$50,2,FALSE),"nodata")</f>
        <v>nodata</v>
      </c>
      <c r="G88" t="str">
        <f>IFERROR(VLOOKUP($A88,[1]data!$A$2:$G$50,3,FALSE),"nodata")</f>
        <v>nodata</v>
      </c>
      <c r="H88" t="str">
        <f>IFERROR(VLOOKUP($A88,[1]data!$A$2:$G$50,4,FALSE),"nodata")</f>
        <v>nodata</v>
      </c>
      <c r="I88" t="str">
        <f>IFERROR(VLOOKUP($A88,[1]data!$A$2:$G$50,5,FALSE),"nodata")</f>
        <v>nodata</v>
      </c>
      <c r="J88" t="str">
        <f>IFERROR(VLOOKUP($A88,[1]data!$A$2:$G$50,6,FALSE),"nodata")</f>
        <v>nodata</v>
      </c>
      <c r="K88" t="str">
        <f>IFERROR(VLOOKUP($A88,[1]data!$A$2:$G$50,7,FALSE),"nodata")</f>
        <v>nodata</v>
      </c>
      <c r="L88">
        <f>VLOOKUP(A88,[2]Sheet1!$A$2:$G$265,7,FALSE)</f>
        <v>116398</v>
      </c>
      <c r="M88" t="str">
        <f t="shared" si="1"/>
        <v>nodata</v>
      </c>
    </row>
    <row r="89" spans="1:13" x14ac:dyDescent="0.2">
      <c r="A89" t="s">
        <v>94</v>
      </c>
      <c r="B89">
        <v>5</v>
      </c>
      <c r="C89">
        <v>38</v>
      </c>
      <c r="D89">
        <v>100</v>
      </c>
      <c r="E89" t="s">
        <v>51</v>
      </c>
      <c r="F89" t="str">
        <f>IFERROR(VLOOKUP($A89,[1]data!$A$2:$G$50,2,FALSE),"nodata")</f>
        <v>nodata</v>
      </c>
      <c r="G89" t="str">
        <f>IFERROR(VLOOKUP($A89,[1]data!$A$2:$G$50,3,FALSE),"nodata")</f>
        <v>nodata</v>
      </c>
      <c r="H89" t="str">
        <f>IFERROR(VLOOKUP($A89,[1]data!$A$2:$G$50,4,FALSE),"nodata")</f>
        <v>nodata</v>
      </c>
      <c r="I89" t="str">
        <f>IFERROR(VLOOKUP($A89,[1]data!$A$2:$G$50,5,FALSE),"nodata")</f>
        <v>nodata</v>
      </c>
      <c r="J89" t="str">
        <f>IFERROR(VLOOKUP($A89,[1]data!$A$2:$G$50,6,FALSE),"nodata")</f>
        <v>nodata</v>
      </c>
      <c r="K89" t="str">
        <f>IFERROR(VLOOKUP($A89,[1]data!$A$2:$G$50,7,FALSE),"nodata")</f>
        <v>nodata</v>
      </c>
      <c r="L89">
        <f>VLOOKUP(A89,[2]Sheet1!$A$2:$G$265,7,FALSE)</f>
        <v>51466201</v>
      </c>
      <c r="M89" t="str">
        <f t="shared" si="1"/>
        <v>nodata</v>
      </c>
    </row>
    <row r="90" spans="1:13" x14ac:dyDescent="0.2">
      <c r="A90" t="s">
        <v>95</v>
      </c>
      <c r="B90">
        <v>60</v>
      </c>
      <c r="C90">
        <v>225</v>
      </c>
      <c r="D90">
        <v>100</v>
      </c>
      <c r="E90" t="s">
        <v>6</v>
      </c>
      <c r="F90" t="str">
        <f>IFERROR(VLOOKUP($A90,[1]data!$A$2:$G$50,2,FALSE),"nodata")</f>
        <v>nodata</v>
      </c>
      <c r="G90" t="str">
        <f>IFERROR(VLOOKUP($A90,[1]data!$A$2:$G$50,3,FALSE),"nodata")</f>
        <v>nodata</v>
      </c>
      <c r="H90" t="str">
        <f>IFERROR(VLOOKUP($A90,[1]data!$A$2:$G$50,4,FALSE),"nodata")</f>
        <v>nodata</v>
      </c>
      <c r="I90" t="str">
        <f>IFERROR(VLOOKUP($A90,[1]data!$A$2:$G$50,5,FALSE),"nodata")</f>
        <v>nodata</v>
      </c>
      <c r="J90" t="str">
        <f>IFERROR(VLOOKUP($A90,[1]data!$A$2:$G$50,6,FALSE),"nodata")</f>
        <v>nodata</v>
      </c>
      <c r="K90" t="str">
        <f>IFERROR(VLOOKUP($A90,[1]data!$A$2:$G$50,7,FALSE),"nodata")</f>
        <v>nodata</v>
      </c>
      <c r="L90">
        <f>VLOOKUP(A90,[2]Sheet1!$A$2:$G$265,7,FALSE)</f>
        <v>1830700</v>
      </c>
      <c r="M90" t="str">
        <f t="shared" si="1"/>
        <v>nodata</v>
      </c>
    </row>
    <row r="91" spans="1:13" x14ac:dyDescent="0.2">
      <c r="A91" t="s">
        <v>96</v>
      </c>
      <c r="B91">
        <v>102</v>
      </c>
      <c r="C91">
        <v>77</v>
      </c>
      <c r="D91">
        <v>100</v>
      </c>
      <c r="E91" t="s">
        <v>6</v>
      </c>
      <c r="F91" t="str">
        <f>IFERROR(VLOOKUP($A91,[1]data!$A$2:$G$50,2,FALSE),"nodata")</f>
        <v>nodata</v>
      </c>
      <c r="G91" t="str">
        <f>IFERROR(VLOOKUP($A91,[1]data!$A$2:$G$50,3,FALSE),"nodata")</f>
        <v>nodata</v>
      </c>
      <c r="H91" t="str">
        <f>IFERROR(VLOOKUP($A91,[1]data!$A$2:$G$50,4,FALSE),"nodata")</f>
        <v>nodata</v>
      </c>
      <c r="I91" t="str">
        <f>IFERROR(VLOOKUP($A91,[1]data!$A$2:$G$50,5,FALSE),"nodata")</f>
        <v>nodata</v>
      </c>
      <c r="J91" t="str">
        <f>IFERROR(VLOOKUP($A91,[1]data!$A$2:$G$50,6,FALSE),"nodata")</f>
        <v>nodata</v>
      </c>
      <c r="K91" t="str">
        <f>IFERROR(VLOOKUP($A91,[1]data!$A$2:$G$50,7,FALSE),"nodata")</f>
        <v>nodata</v>
      </c>
      <c r="L91">
        <f>VLOOKUP(A91,[2]Sheet1!$A$2:$G$265,7,FALSE)</f>
        <v>4136528</v>
      </c>
      <c r="M91" t="str">
        <f t="shared" si="1"/>
        <v>nodata</v>
      </c>
    </row>
    <row r="92" spans="1:13" x14ac:dyDescent="0.2">
      <c r="A92" t="s">
        <v>97</v>
      </c>
      <c r="B92">
        <v>75</v>
      </c>
      <c r="C92">
        <v>858</v>
      </c>
      <c r="D92">
        <v>100</v>
      </c>
      <c r="E92" t="s">
        <v>6</v>
      </c>
      <c r="F92" t="str">
        <f>IFERROR(VLOOKUP($A92,[1]data!$A$2:$G$50,2,FALSE),"nodata")</f>
        <v>nodata</v>
      </c>
      <c r="G92" t="str">
        <f>IFERROR(VLOOKUP($A92,[1]data!$A$2:$G$50,3,FALSE),"nodata")</f>
        <v>nodata</v>
      </c>
      <c r="H92" t="str">
        <f>IFERROR(VLOOKUP($A92,[1]data!$A$2:$G$50,4,FALSE),"nodata")</f>
        <v>nodata</v>
      </c>
      <c r="I92" t="str">
        <f>IFERROR(VLOOKUP($A92,[1]data!$A$2:$G$50,5,FALSE),"nodata")</f>
        <v>nodata</v>
      </c>
      <c r="J92" t="str">
        <f>IFERROR(VLOOKUP($A92,[1]data!$A$2:$G$50,6,FALSE),"nodata")</f>
        <v>nodata</v>
      </c>
      <c r="K92" t="str">
        <f>IFERROR(VLOOKUP($A92,[1]data!$A$2:$G$50,7,FALSE),"nodata")</f>
        <v>nodata</v>
      </c>
      <c r="L92">
        <f>VLOOKUP(A92,[2]Sheet1!$A$2:$G$265,7,FALSE)</f>
        <v>6201500</v>
      </c>
      <c r="M92" t="str">
        <f t="shared" si="1"/>
        <v>nodata</v>
      </c>
    </row>
    <row r="93" spans="1:13" x14ac:dyDescent="0.2">
      <c r="A93" t="s">
        <v>98</v>
      </c>
      <c r="B93">
        <v>139</v>
      </c>
      <c r="C93">
        <v>1409</v>
      </c>
      <c r="D93">
        <v>87</v>
      </c>
      <c r="E93" t="s">
        <v>6</v>
      </c>
      <c r="F93" t="str">
        <f>IFERROR(VLOOKUP($A93,[1]data!$A$2:$G$50,2,FALSE),"nodata")</f>
        <v>nodata</v>
      </c>
      <c r="G93" t="str">
        <f>IFERROR(VLOOKUP($A93,[1]data!$A$2:$G$50,3,FALSE),"nodata")</f>
        <v>nodata</v>
      </c>
      <c r="H93" t="str">
        <f>IFERROR(VLOOKUP($A93,[1]data!$A$2:$G$50,4,FALSE),"nodata")</f>
        <v>nodata</v>
      </c>
      <c r="I93" t="str">
        <f>IFERROR(VLOOKUP($A93,[1]data!$A$2:$G$50,5,FALSE),"nodata")</f>
        <v>nodata</v>
      </c>
      <c r="J93" t="str">
        <f>IFERROR(VLOOKUP($A93,[1]data!$A$2:$G$50,6,FALSE),"nodata")</f>
        <v>nodata</v>
      </c>
      <c r="K93" t="str">
        <f>IFERROR(VLOOKUP($A93,[1]data!$A$2:$G$50,7,FALSE),"nodata")</f>
        <v>nodata</v>
      </c>
      <c r="L93">
        <f>VLOOKUP(A93,[2]Sheet1!$A$2:$G$265,7,FALSE)</f>
        <v>6858160</v>
      </c>
      <c r="M93" t="str">
        <f t="shared" si="1"/>
        <v>nodata</v>
      </c>
    </row>
    <row r="94" spans="1:13" x14ac:dyDescent="0.2">
      <c r="A94" t="s">
        <v>99</v>
      </c>
      <c r="B94">
        <v>14</v>
      </c>
      <c r="C94">
        <v>290</v>
      </c>
      <c r="D94">
        <v>100</v>
      </c>
      <c r="E94" t="s">
        <v>6</v>
      </c>
      <c r="F94" t="str">
        <f>IFERROR(VLOOKUP($A94,[1]data!$A$2:$G$50,2,FALSE),"nodata")</f>
        <v>nodata</v>
      </c>
      <c r="G94" t="str">
        <f>IFERROR(VLOOKUP($A94,[1]data!$A$2:$G$50,3,FALSE),"nodata")</f>
        <v>nodata</v>
      </c>
      <c r="H94" t="str">
        <f>IFERROR(VLOOKUP($A94,[1]data!$A$2:$G$50,4,FALSE),"nodata")</f>
        <v>nodata</v>
      </c>
      <c r="I94" t="str">
        <f>IFERROR(VLOOKUP($A94,[1]data!$A$2:$G$50,5,FALSE),"nodata")</f>
        <v>nodata</v>
      </c>
      <c r="J94" t="str">
        <f>IFERROR(VLOOKUP($A94,[1]data!$A$2:$G$50,6,FALSE),"nodata")</f>
        <v>nodata</v>
      </c>
      <c r="K94" t="str">
        <f>IFERROR(VLOOKUP($A94,[1]data!$A$2:$G$50,7,FALSE),"nodata")</f>
        <v>nodata</v>
      </c>
      <c r="L94">
        <f>VLOOKUP(A94,[2]Sheet1!$A$2:$G$265,7,FALSE)</f>
        <v>1940740</v>
      </c>
      <c r="M94" t="str">
        <f t="shared" si="1"/>
        <v>nodata</v>
      </c>
    </row>
    <row r="95" spans="1:13" x14ac:dyDescent="0.2">
      <c r="A95" t="s">
        <v>100</v>
      </c>
      <c r="B95">
        <v>126</v>
      </c>
      <c r="C95">
        <v>125</v>
      </c>
      <c r="D95">
        <v>100</v>
      </c>
      <c r="E95" t="s">
        <v>6</v>
      </c>
      <c r="F95" t="str">
        <f>IFERROR(VLOOKUP($A95,[1]data!$A$2:$G$50,2,FALSE),"nodata")</f>
        <v>nodata</v>
      </c>
      <c r="G95" t="str">
        <f>IFERROR(VLOOKUP($A95,[1]data!$A$2:$G$50,3,FALSE),"nodata")</f>
        <v>nodata</v>
      </c>
      <c r="H95" t="str">
        <f>IFERROR(VLOOKUP($A95,[1]data!$A$2:$G$50,4,FALSE),"nodata")</f>
        <v>nodata</v>
      </c>
      <c r="I95" t="str">
        <f>IFERROR(VLOOKUP($A95,[1]data!$A$2:$G$50,5,FALSE),"nodata")</f>
        <v>nodata</v>
      </c>
      <c r="J95" t="str">
        <f>IFERROR(VLOOKUP($A95,[1]data!$A$2:$G$50,6,FALSE),"nodata")</f>
        <v>nodata</v>
      </c>
      <c r="K95" t="str">
        <f>IFERROR(VLOOKUP($A95,[1]data!$A$2:$G$50,7,FALSE),"nodata")</f>
        <v>nodata</v>
      </c>
      <c r="L95">
        <f>VLOOKUP(A95,[2]Sheet1!$A$2:$G$265,7,FALSE)</f>
        <v>6082357</v>
      </c>
      <c r="M95" t="str">
        <f t="shared" si="1"/>
        <v>nodata</v>
      </c>
    </row>
    <row r="96" spans="1:13" x14ac:dyDescent="0.2">
      <c r="A96" t="s">
        <v>101</v>
      </c>
      <c r="B96">
        <v>100</v>
      </c>
      <c r="C96">
        <v>1422</v>
      </c>
      <c r="D96">
        <v>30</v>
      </c>
      <c r="E96" t="s">
        <v>10</v>
      </c>
      <c r="F96">
        <f>IFERROR(VLOOKUP($A96,[1]data!$A$2:$G$50,2,FALSE),"nodata")</f>
        <v>30454</v>
      </c>
      <c r="G96">
        <f>IFERROR(VLOOKUP($A96,[1]data!$A$2:$G$50,3,FALSE),"nodata")</f>
        <v>1122</v>
      </c>
      <c r="H96">
        <f>IFERROR(VLOOKUP($A96,[1]data!$A$2:$G$50,4,FALSE),"nodata")</f>
        <v>938</v>
      </c>
      <c r="I96">
        <f>IFERROR(VLOOKUP($A96,[1]data!$A$2:$G$50,5,FALSE),"nodata")</f>
        <v>599</v>
      </c>
      <c r="J96">
        <f>IFERROR(VLOOKUP($A96,[1]data!$A$2:$G$50,6,FALSE),"nodata")</f>
        <v>2659</v>
      </c>
      <c r="K96">
        <f>IFERROR(VLOOKUP($A96,[1]data!$A$2:$G$50,7,FALSE),"nodata")</f>
        <v>8.7312011558415975E-2</v>
      </c>
      <c r="L96">
        <f>VLOOKUP(A96,[2]Sheet1!$A$2:$G$265,7,FALSE)</f>
        <v>2233339</v>
      </c>
      <c r="M96">
        <f t="shared" si="1"/>
        <v>1.190593994015239E-3</v>
      </c>
    </row>
    <row r="97" spans="1:13" x14ac:dyDescent="0.2">
      <c r="A97" t="s">
        <v>102</v>
      </c>
      <c r="B97">
        <v>174</v>
      </c>
      <c r="C97">
        <v>4067</v>
      </c>
      <c r="D97">
        <v>20</v>
      </c>
      <c r="E97" t="s">
        <v>10</v>
      </c>
      <c r="F97">
        <f>IFERROR(VLOOKUP($A97,[1]data!$A$2:$G$50,2,FALSE),"nodata")</f>
        <v>95877</v>
      </c>
      <c r="G97">
        <f>IFERROR(VLOOKUP($A97,[1]data!$A$2:$G$50,3,FALSE),"nodata")</f>
        <v>0</v>
      </c>
      <c r="H97">
        <f>IFERROR(VLOOKUP($A97,[1]data!$A$2:$G$50,4,FALSE),"nodata")</f>
        <v>667</v>
      </c>
      <c r="I97">
        <f>IFERROR(VLOOKUP($A97,[1]data!$A$2:$G$50,5,FALSE),"nodata")</f>
        <v>0</v>
      </c>
      <c r="J97">
        <f>IFERROR(VLOOKUP($A97,[1]data!$A$2:$G$50,6,FALSE),"nodata")</f>
        <v>667</v>
      </c>
      <c r="K97">
        <f>IFERROR(VLOOKUP($A97,[1]data!$A$2:$G$50,7,FALSE),"nodata")</f>
        <v>6.9568301052390039E-3</v>
      </c>
      <c r="L97">
        <f>VLOOKUP(A97,[2]Sheet1!$A$2:$G$265,7,FALSE)</f>
        <v>4731906</v>
      </c>
      <c r="M97">
        <f t="shared" si="1"/>
        <v>1.4095799874300124E-4</v>
      </c>
    </row>
    <row r="98" spans="1:13" x14ac:dyDescent="0.2">
      <c r="A98" t="s">
        <v>103</v>
      </c>
      <c r="B98">
        <v>188</v>
      </c>
      <c r="C98">
        <v>442</v>
      </c>
      <c r="D98">
        <v>99</v>
      </c>
      <c r="E98" t="s">
        <v>6</v>
      </c>
      <c r="F98">
        <f>IFERROR(VLOOKUP($A98,[1]data!$A$2:$G$50,2,FALSE),"nodata")</f>
        <v>1616869</v>
      </c>
      <c r="G98">
        <f>IFERROR(VLOOKUP($A98,[1]data!$A$2:$G$50,3,FALSE),"nodata")</f>
        <v>11823</v>
      </c>
      <c r="H98">
        <f>IFERROR(VLOOKUP($A98,[1]data!$A$2:$G$50,4,FALSE),"nodata")</f>
        <v>13979</v>
      </c>
      <c r="I98">
        <f>IFERROR(VLOOKUP($A98,[1]data!$A$2:$G$50,5,FALSE),"nodata")</f>
        <v>21649</v>
      </c>
      <c r="J98">
        <f>IFERROR(VLOOKUP($A98,[1]data!$A$2:$G$50,6,FALSE),"nodata")</f>
        <v>47451</v>
      </c>
      <c r="K98">
        <f>IFERROR(VLOOKUP($A98,[1]data!$A$2:$G$50,7,FALSE),"nodata")</f>
        <v>2.9347461049720171E-2</v>
      </c>
      <c r="L98">
        <f>VLOOKUP(A98,[2]Sheet1!$A$2:$G$265,7,FALSE)</f>
        <v>6374616</v>
      </c>
      <c r="M98">
        <f t="shared" si="1"/>
        <v>7.4437424936655006E-3</v>
      </c>
    </row>
    <row r="99" spans="1:13" x14ac:dyDescent="0.2">
      <c r="A99" t="s">
        <v>104</v>
      </c>
      <c r="B99">
        <v>21</v>
      </c>
      <c r="C99">
        <v>44</v>
      </c>
      <c r="D99">
        <v>100</v>
      </c>
      <c r="E99" t="s">
        <v>6</v>
      </c>
      <c r="F99" t="str">
        <f>IFERROR(VLOOKUP($A99,[1]data!$A$2:$G$50,2,FALSE),"nodata")</f>
        <v>nodata</v>
      </c>
      <c r="G99" t="str">
        <f>IFERROR(VLOOKUP($A99,[1]data!$A$2:$G$50,3,FALSE),"nodata")</f>
        <v>nodata</v>
      </c>
      <c r="H99" t="str">
        <f>IFERROR(VLOOKUP($A99,[1]data!$A$2:$G$50,4,FALSE),"nodata")</f>
        <v>nodata</v>
      </c>
      <c r="I99" t="str">
        <f>IFERROR(VLOOKUP($A99,[1]data!$A$2:$G$50,5,FALSE),"nodata")</f>
        <v>nodata</v>
      </c>
      <c r="J99" t="str">
        <f>IFERROR(VLOOKUP($A99,[1]data!$A$2:$G$50,6,FALSE),"nodata")</f>
        <v>nodata</v>
      </c>
      <c r="K99" t="str">
        <f>IFERROR(VLOOKUP($A99,[1]data!$A$2:$G$50,7,FALSE),"nodata")</f>
        <v>nodata</v>
      </c>
      <c r="L99">
        <f>VLOOKUP(A99,[2]Sheet1!$A$2:$G$265,7,FALSE)</f>
        <v>2827721</v>
      </c>
      <c r="M99" t="str">
        <f t="shared" si="1"/>
        <v>nodata</v>
      </c>
    </row>
    <row r="100" spans="1:13" x14ac:dyDescent="0.2">
      <c r="A100" t="s">
        <v>105</v>
      </c>
      <c r="B100">
        <v>59</v>
      </c>
      <c r="C100">
        <v>36</v>
      </c>
      <c r="D100">
        <v>100</v>
      </c>
      <c r="E100" t="s">
        <v>6</v>
      </c>
      <c r="F100" t="str">
        <f>IFERROR(VLOOKUP($A100,[1]data!$A$2:$G$50,2,FALSE),"nodata")</f>
        <v>nodata</v>
      </c>
      <c r="G100" t="str">
        <f>IFERROR(VLOOKUP($A100,[1]data!$A$2:$G$50,3,FALSE),"nodata")</f>
        <v>nodata</v>
      </c>
      <c r="H100" t="str">
        <f>IFERROR(VLOOKUP($A100,[1]data!$A$2:$G$50,4,FALSE),"nodata")</f>
        <v>nodata</v>
      </c>
      <c r="I100" t="str">
        <f>IFERROR(VLOOKUP($A100,[1]data!$A$2:$G$50,5,FALSE),"nodata")</f>
        <v>nodata</v>
      </c>
      <c r="J100" t="str">
        <f>IFERROR(VLOOKUP($A100,[1]data!$A$2:$G$50,6,FALSE),"nodata")</f>
        <v>nodata</v>
      </c>
      <c r="K100" t="str">
        <f>IFERROR(VLOOKUP($A100,[1]data!$A$2:$G$50,7,FALSE),"nodata")</f>
        <v>nodata</v>
      </c>
      <c r="L100">
        <f>VLOOKUP(A100,[2]Sheet1!$A$2:$G$265,7,FALSE)</f>
        <v>599449</v>
      </c>
      <c r="M100" t="str">
        <f t="shared" si="1"/>
        <v>nodata</v>
      </c>
    </row>
    <row r="101" spans="1:13" x14ac:dyDescent="0.2">
      <c r="A101" t="s">
        <v>106</v>
      </c>
      <c r="B101">
        <v>10</v>
      </c>
      <c r="C101">
        <v>212</v>
      </c>
      <c r="D101">
        <v>100</v>
      </c>
      <c r="E101" t="s">
        <v>51</v>
      </c>
      <c r="F101" t="str">
        <f>IFERROR(VLOOKUP($A101,[1]data!$A$2:$G$50,2,FALSE),"nodata")</f>
        <v>nodata</v>
      </c>
      <c r="G101" t="str">
        <f>IFERROR(VLOOKUP($A101,[1]data!$A$2:$G$50,3,FALSE),"nodata")</f>
        <v>nodata</v>
      </c>
      <c r="H101" t="str">
        <f>IFERROR(VLOOKUP($A101,[1]data!$A$2:$G$50,4,FALSE),"nodata")</f>
        <v>nodata</v>
      </c>
      <c r="I101" t="str">
        <f>IFERROR(VLOOKUP($A101,[1]data!$A$2:$G$50,5,FALSE),"nodata")</f>
        <v>nodata</v>
      </c>
      <c r="J101" t="str">
        <f>IFERROR(VLOOKUP($A101,[1]data!$A$2:$G$50,6,FALSE),"nodata")</f>
        <v>nodata</v>
      </c>
      <c r="K101" t="str">
        <f>IFERROR(VLOOKUP($A101,[1]data!$A$2:$G$50,7,FALSE),"nodata")</f>
        <v>nodata</v>
      </c>
      <c r="L101">
        <f>VLOOKUP(A101,[2]Sheet1!$A$2:$G$265,7,FALSE)</f>
        <v>2083160</v>
      </c>
      <c r="M101" t="str">
        <f t="shared" si="1"/>
        <v>nodata</v>
      </c>
    </row>
    <row r="102" spans="1:13" x14ac:dyDescent="0.2">
      <c r="A102" t="s">
        <v>107</v>
      </c>
      <c r="B102">
        <v>167</v>
      </c>
      <c r="C102">
        <v>5699</v>
      </c>
      <c r="D102">
        <v>23</v>
      </c>
      <c r="E102" t="s">
        <v>10</v>
      </c>
      <c r="F102">
        <f>IFERROR(VLOOKUP($A102,[1]data!$A$2:$G$50,2,FALSE),"nodata")</f>
        <v>591575</v>
      </c>
      <c r="G102">
        <f>IFERROR(VLOOKUP($A102,[1]data!$A$2:$G$50,3,FALSE),"nodata")</f>
        <v>3194</v>
      </c>
      <c r="H102">
        <f>IFERROR(VLOOKUP($A102,[1]data!$A$2:$G$50,4,FALSE),"nodata")</f>
        <v>4987</v>
      </c>
      <c r="I102">
        <f>IFERROR(VLOOKUP($A102,[1]data!$A$2:$G$50,5,FALSE),"nodata")</f>
        <v>2617</v>
      </c>
      <c r="J102">
        <f>IFERROR(VLOOKUP($A102,[1]data!$A$2:$G$50,6,FALSE),"nodata")</f>
        <v>10798</v>
      </c>
      <c r="K102">
        <f>IFERROR(VLOOKUP($A102,[1]data!$A$2:$G$50,7,FALSE),"nodata")</f>
        <v>1.8252968769809409E-2</v>
      </c>
      <c r="L102">
        <f>VLOOKUP(A102,[2]Sheet1!$A$2:$G$265,7,FALSE)</f>
        <v>25570895</v>
      </c>
      <c r="M102">
        <f t="shared" si="1"/>
        <v>4.2227696762276015E-4</v>
      </c>
    </row>
    <row r="103" spans="1:13" x14ac:dyDescent="0.2">
      <c r="A103" t="s">
        <v>108</v>
      </c>
      <c r="B103">
        <v>133</v>
      </c>
      <c r="C103">
        <v>2688</v>
      </c>
      <c r="D103">
        <v>11</v>
      </c>
      <c r="E103" t="s">
        <v>10</v>
      </c>
      <c r="F103">
        <f>IFERROR(VLOOKUP($A103,[1]data!$A$2:$G$50,2,FALSE),"nodata")</f>
        <v>118062</v>
      </c>
      <c r="G103">
        <f>IFERROR(VLOOKUP($A103,[1]data!$A$2:$G$50,3,FALSE),"nodata")</f>
        <v>4474</v>
      </c>
      <c r="H103">
        <f>IFERROR(VLOOKUP($A103,[1]data!$A$2:$G$50,4,FALSE),"nodata")</f>
        <v>5210</v>
      </c>
      <c r="I103">
        <f>IFERROR(VLOOKUP($A103,[1]data!$A$2:$G$50,5,FALSE),"nodata")</f>
        <v>1986</v>
      </c>
      <c r="J103">
        <f>IFERROR(VLOOKUP($A103,[1]data!$A$2:$G$50,6,FALSE),"nodata")</f>
        <v>11670</v>
      </c>
      <c r="K103">
        <f>IFERROR(VLOOKUP($A103,[1]data!$A$2:$G$50,7,FALSE),"nodata")</f>
        <v>9.884636885704122E-2</v>
      </c>
      <c r="L103">
        <f>VLOOKUP(A103,[2]Sheet1!$A$2:$G$265,7,FALSE)</f>
        <v>18622104</v>
      </c>
      <c r="M103">
        <f t="shared" si="1"/>
        <v>6.266746228030946E-4</v>
      </c>
    </row>
    <row r="104" spans="1:13" x14ac:dyDescent="0.2">
      <c r="A104" t="s">
        <v>109</v>
      </c>
      <c r="B104">
        <v>23</v>
      </c>
      <c r="C104">
        <v>27</v>
      </c>
      <c r="D104">
        <v>100</v>
      </c>
      <c r="E104" t="s">
        <v>6</v>
      </c>
      <c r="F104" t="str">
        <f>IFERROR(VLOOKUP($A104,[1]data!$A$2:$G$50,2,FALSE),"nodata")</f>
        <v>nodata</v>
      </c>
      <c r="G104" t="str">
        <f>IFERROR(VLOOKUP($A104,[1]data!$A$2:$G$50,3,FALSE),"nodata")</f>
        <v>nodata</v>
      </c>
      <c r="H104" t="str">
        <f>IFERROR(VLOOKUP($A104,[1]data!$A$2:$G$50,4,FALSE),"nodata")</f>
        <v>nodata</v>
      </c>
      <c r="I104" t="str">
        <f>IFERROR(VLOOKUP($A104,[1]data!$A$2:$G$50,5,FALSE),"nodata")</f>
        <v>nodata</v>
      </c>
      <c r="J104" t="str">
        <f>IFERROR(VLOOKUP($A104,[1]data!$A$2:$G$50,6,FALSE),"nodata")</f>
        <v>nodata</v>
      </c>
      <c r="K104" t="str">
        <f>IFERROR(VLOOKUP($A104,[1]data!$A$2:$G$50,7,FALSE),"nodata")</f>
        <v>nodata</v>
      </c>
      <c r="L104">
        <f>VLOOKUP(A104,[2]Sheet1!$A$2:$G$265,7,FALSE)</f>
        <v>31624264</v>
      </c>
      <c r="M104" t="str">
        <f t="shared" si="1"/>
        <v>nodata</v>
      </c>
    </row>
    <row r="105" spans="1:13" x14ac:dyDescent="0.2">
      <c r="A105" t="s">
        <v>110</v>
      </c>
      <c r="B105">
        <v>135</v>
      </c>
      <c r="C105">
        <v>322</v>
      </c>
      <c r="D105">
        <v>100</v>
      </c>
      <c r="E105" t="s">
        <v>6</v>
      </c>
      <c r="F105" t="str">
        <f>IFERROR(VLOOKUP($A105,[1]data!$A$2:$G$50,2,FALSE),"nodata")</f>
        <v>nodata</v>
      </c>
      <c r="G105" t="str">
        <f>IFERROR(VLOOKUP($A105,[1]data!$A$2:$G$50,3,FALSE),"nodata")</f>
        <v>nodata</v>
      </c>
      <c r="H105" t="str">
        <f>IFERROR(VLOOKUP($A105,[1]data!$A$2:$G$50,4,FALSE),"nodata")</f>
        <v>nodata</v>
      </c>
      <c r="I105" t="str">
        <f>IFERROR(VLOOKUP($A105,[1]data!$A$2:$G$50,5,FALSE),"nodata")</f>
        <v>nodata</v>
      </c>
      <c r="J105" t="str">
        <f>IFERROR(VLOOKUP($A105,[1]data!$A$2:$G$50,6,FALSE),"nodata")</f>
        <v>nodata</v>
      </c>
      <c r="K105" t="str">
        <f>IFERROR(VLOOKUP($A105,[1]data!$A$2:$G$50,7,FALSE),"nodata")</f>
        <v>nodata</v>
      </c>
      <c r="L105">
        <f>VLOOKUP(A105,[2]Sheet1!$A$2:$G$265,7,FALSE)</f>
        <v>436330</v>
      </c>
      <c r="M105" t="str">
        <f t="shared" si="1"/>
        <v>nodata</v>
      </c>
    </row>
    <row r="106" spans="1:13" x14ac:dyDescent="0.2">
      <c r="A106" t="s">
        <v>111</v>
      </c>
      <c r="B106">
        <v>141</v>
      </c>
      <c r="C106">
        <v>2965</v>
      </c>
      <c r="D106">
        <v>35</v>
      </c>
      <c r="E106" t="s">
        <v>10</v>
      </c>
      <c r="F106">
        <f>IFERROR(VLOOKUP($A106,[1]data!$A$2:$G$50,2,FALSE),"nodata")</f>
        <v>1251574</v>
      </c>
      <c r="G106">
        <f>IFERROR(VLOOKUP($A106,[1]data!$A$2:$G$50,3,FALSE),"nodata")</f>
        <v>0</v>
      </c>
      <c r="H106">
        <f>IFERROR(VLOOKUP($A106,[1]data!$A$2:$G$50,4,FALSE),"nodata")</f>
        <v>7906</v>
      </c>
      <c r="I106">
        <f>IFERROR(VLOOKUP($A106,[1]data!$A$2:$G$50,5,FALSE),"nodata")</f>
        <v>1923</v>
      </c>
      <c r="J106">
        <f>IFERROR(VLOOKUP($A106,[1]data!$A$2:$G$50,6,FALSE),"nodata")</f>
        <v>9829</v>
      </c>
      <c r="K106">
        <f>IFERROR(VLOOKUP($A106,[1]data!$A$2:$G$50,7,FALSE),"nodata")</f>
        <v>7.8533111106494705E-3</v>
      </c>
      <c r="L106">
        <f>VLOOKUP(A106,[2]Sheet1!$A$2:$G$265,7,FALSE)</f>
        <v>18541980</v>
      </c>
      <c r="M106">
        <f t="shared" si="1"/>
        <v>5.300944127865525E-4</v>
      </c>
    </row>
    <row r="107" spans="1:13" x14ac:dyDescent="0.2">
      <c r="A107" t="s">
        <v>112</v>
      </c>
      <c r="B107">
        <v>76</v>
      </c>
      <c r="C107">
        <v>268</v>
      </c>
      <c r="D107">
        <v>100</v>
      </c>
      <c r="E107" t="s">
        <v>6</v>
      </c>
      <c r="F107" t="str">
        <f>IFERROR(VLOOKUP($A107,[1]data!$A$2:$G$50,2,FALSE),"nodata")</f>
        <v>nodata</v>
      </c>
      <c r="G107" t="str">
        <f>IFERROR(VLOOKUP($A107,[1]data!$A$2:$G$50,3,FALSE),"nodata")</f>
        <v>nodata</v>
      </c>
      <c r="H107" t="str">
        <f>IFERROR(VLOOKUP($A107,[1]data!$A$2:$G$50,4,FALSE),"nodata")</f>
        <v>nodata</v>
      </c>
      <c r="I107" t="str">
        <f>IFERROR(VLOOKUP($A107,[1]data!$A$2:$G$50,5,FALSE),"nodata")</f>
        <v>nodata</v>
      </c>
      <c r="J107" t="str">
        <f>IFERROR(VLOOKUP($A107,[1]data!$A$2:$G$50,6,FALSE),"nodata")</f>
        <v>nodata</v>
      </c>
      <c r="K107" t="str">
        <f>IFERROR(VLOOKUP($A107,[1]data!$A$2:$G$50,7,FALSE),"nodata")</f>
        <v>nodata</v>
      </c>
      <c r="L107">
        <f>VLOOKUP(A107,[2]Sheet1!$A$2:$G$265,7,FALSE)</f>
        <v>465292</v>
      </c>
      <c r="M107" t="str">
        <f t="shared" si="1"/>
        <v>nodata</v>
      </c>
    </row>
    <row r="108" spans="1:13" x14ac:dyDescent="0.2">
      <c r="A108" t="s">
        <v>113</v>
      </c>
      <c r="B108">
        <v>143</v>
      </c>
      <c r="C108">
        <v>712</v>
      </c>
      <c r="D108">
        <v>93</v>
      </c>
      <c r="E108" t="s">
        <v>6</v>
      </c>
      <c r="F108" t="str">
        <f>IFERROR(VLOOKUP($A108,[1]data!$A$2:$G$50,2,FALSE),"nodata")</f>
        <v>nodata</v>
      </c>
      <c r="G108" t="str">
        <f>IFERROR(VLOOKUP($A108,[1]data!$A$2:$G$50,3,FALSE),"nodata")</f>
        <v>nodata</v>
      </c>
      <c r="H108" t="str">
        <f>IFERROR(VLOOKUP($A108,[1]data!$A$2:$G$50,4,FALSE),"nodata")</f>
        <v>nodata</v>
      </c>
      <c r="I108" t="str">
        <f>IFERROR(VLOOKUP($A108,[1]data!$A$2:$G$50,5,FALSE),"nodata")</f>
        <v>nodata</v>
      </c>
      <c r="J108" t="str">
        <f>IFERROR(VLOOKUP($A108,[1]data!$A$2:$G$50,6,FALSE),"nodata")</f>
        <v>nodata</v>
      </c>
      <c r="K108" t="str">
        <f>IFERROR(VLOOKUP($A108,[1]data!$A$2:$G$50,7,FALSE),"nodata")</f>
        <v>nodata</v>
      </c>
      <c r="L108">
        <f>VLOOKUP(A108,[2]Sheet1!$A$2:$G$265,7,FALSE)</f>
        <v>53127</v>
      </c>
      <c r="M108" t="str">
        <f t="shared" si="1"/>
        <v>nodata</v>
      </c>
    </row>
    <row r="109" spans="1:13" x14ac:dyDescent="0.2">
      <c r="A109" t="s">
        <v>114</v>
      </c>
      <c r="B109">
        <v>160</v>
      </c>
      <c r="C109">
        <v>4735</v>
      </c>
      <c r="D109">
        <v>42</v>
      </c>
      <c r="E109" t="s">
        <v>10</v>
      </c>
      <c r="F109">
        <f>IFERROR(VLOOKUP($A109,[1]data!$A$2:$G$50,2,FALSE),"nodata")</f>
        <v>1040738</v>
      </c>
      <c r="G109">
        <f>IFERROR(VLOOKUP($A109,[1]data!$A$2:$G$50,3,FALSE),"nodata")</f>
        <v>4988</v>
      </c>
      <c r="H109">
        <f>IFERROR(VLOOKUP($A109,[1]data!$A$2:$G$50,4,FALSE),"nodata")</f>
        <v>7990</v>
      </c>
      <c r="I109">
        <f>IFERROR(VLOOKUP($A109,[1]data!$A$2:$G$50,5,FALSE),"nodata")</f>
        <v>11822</v>
      </c>
      <c r="J109">
        <f>IFERROR(VLOOKUP($A109,[1]data!$A$2:$G$50,6,FALSE),"nodata")</f>
        <v>24800</v>
      </c>
      <c r="K109">
        <f>IFERROR(VLOOKUP($A109,[1]data!$A$2:$G$50,7,FALSE),"nodata")</f>
        <v>2.3829244247831827E-2</v>
      </c>
      <c r="L109">
        <f>VLOOKUP(A109,[2]Sheet1!$A$2:$G$265,7,FALSE)</f>
        <v>4420184</v>
      </c>
      <c r="M109">
        <f t="shared" si="1"/>
        <v>5.610626163978694E-3</v>
      </c>
    </row>
    <row r="110" spans="1:13" x14ac:dyDescent="0.2">
      <c r="A110" t="s">
        <v>115</v>
      </c>
      <c r="B110">
        <v>49</v>
      </c>
      <c r="C110">
        <v>248</v>
      </c>
      <c r="D110">
        <v>99</v>
      </c>
      <c r="E110" t="s">
        <v>10</v>
      </c>
      <c r="F110" t="str">
        <f>IFERROR(VLOOKUP($A110,[1]data!$A$2:$G$50,2,FALSE),"nodata")</f>
        <v>nodata</v>
      </c>
      <c r="G110" t="str">
        <f>IFERROR(VLOOKUP($A110,[1]data!$A$2:$G$50,3,FALSE),"nodata")</f>
        <v>nodata</v>
      </c>
      <c r="H110" t="str">
        <f>IFERROR(VLOOKUP($A110,[1]data!$A$2:$G$50,4,FALSE),"nodata")</f>
        <v>nodata</v>
      </c>
      <c r="I110" t="str">
        <f>IFERROR(VLOOKUP($A110,[1]data!$A$2:$G$50,5,FALSE),"nodata")</f>
        <v>nodata</v>
      </c>
      <c r="J110" t="str">
        <f>IFERROR(VLOOKUP($A110,[1]data!$A$2:$G$50,6,FALSE),"nodata")</f>
        <v>nodata</v>
      </c>
      <c r="K110" t="str">
        <f>IFERROR(VLOOKUP($A110,[1]data!$A$2:$G$50,7,FALSE),"nodata")</f>
        <v>nodata</v>
      </c>
      <c r="L110">
        <f>VLOOKUP(A110,[2]Sheet1!$A$2:$G$265,7,FALSE)</f>
        <v>1264613</v>
      </c>
      <c r="M110" t="str">
        <f t="shared" si="1"/>
        <v>nodata</v>
      </c>
    </row>
    <row r="111" spans="1:13" x14ac:dyDescent="0.2">
      <c r="A111" t="s">
        <v>116</v>
      </c>
      <c r="B111">
        <v>47</v>
      </c>
      <c r="C111">
        <v>337</v>
      </c>
      <c r="D111">
        <v>100</v>
      </c>
      <c r="E111" t="s">
        <v>6</v>
      </c>
      <c r="F111" t="str">
        <f>IFERROR(VLOOKUP($A111,[1]data!$A$2:$G$50,2,FALSE),"nodata")</f>
        <v>nodata</v>
      </c>
      <c r="G111" t="str">
        <f>IFERROR(VLOOKUP($A111,[1]data!$A$2:$G$50,3,FALSE),"nodata")</f>
        <v>nodata</v>
      </c>
      <c r="H111" t="str">
        <f>IFERROR(VLOOKUP($A111,[1]data!$A$2:$G$50,4,FALSE),"nodata")</f>
        <v>nodata</v>
      </c>
      <c r="I111" t="str">
        <f>IFERROR(VLOOKUP($A111,[1]data!$A$2:$G$50,5,FALSE),"nodata")</f>
        <v>nodata</v>
      </c>
      <c r="J111" t="str">
        <f>IFERROR(VLOOKUP($A111,[1]data!$A$2:$G$50,6,FALSE),"nodata")</f>
        <v>nodata</v>
      </c>
      <c r="K111" t="str">
        <f>IFERROR(VLOOKUP($A111,[1]data!$A$2:$G$50,7,FALSE),"nodata")</f>
        <v>nodata</v>
      </c>
      <c r="L111">
        <f>VLOOKUP(A111,[2]Sheet1!$A$2:$G$265,7,FALSE)</f>
        <v>129163276</v>
      </c>
      <c r="M111" t="str">
        <f t="shared" si="1"/>
        <v>nodata</v>
      </c>
    </row>
    <row r="112" spans="1:13" x14ac:dyDescent="0.2">
      <c r="A112" t="s">
        <v>117</v>
      </c>
      <c r="B112">
        <v>151</v>
      </c>
      <c r="C112">
        <v>397</v>
      </c>
      <c r="D112">
        <v>75</v>
      </c>
      <c r="E112" t="s">
        <v>6</v>
      </c>
      <c r="F112" t="str">
        <f>IFERROR(VLOOKUP($A112,[1]data!$A$2:$G$50,2,FALSE),"nodata")</f>
        <v>nodata</v>
      </c>
      <c r="G112" t="str">
        <f>IFERROR(VLOOKUP($A112,[1]data!$A$2:$G$50,3,FALSE),"nodata")</f>
        <v>nodata</v>
      </c>
      <c r="H112" t="str">
        <f>IFERROR(VLOOKUP($A112,[1]data!$A$2:$G$50,4,FALSE),"nodata")</f>
        <v>nodata</v>
      </c>
      <c r="I112" t="str">
        <f>IFERROR(VLOOKUP($A112,[1]data!$A$2:$G$50,5,FALSE),"nodata")</f>
        <v>nodata</v>
      </c>
      <c r="J112" t="str">
        <f>IFERROR(VLOOKUP($A112,[1]data!$A$2:$G$50,6,FALSE),"nodata")</f>
        <v>nodata</v>
      </c>
      <c r="K112" t="str">
        <f>IFERROR(VLOOKUP($A112,[1]data!$A$2:$G$50,7,FALSE),"nodata")</f>
        <v>nodata</v>
      </c>
      <c r="L112">
        <f>VLOOKUP(A112,[2]Sheet1!$A$2:$G$265,7,FALSE)</f>
        <v>105544</v>
      </c>
      <c r="M112" t="str">
        <f t="shared" si="1"/>
        <v>nodata</v>
      </c>
    </row>
    <row r="113" spans="1:13" x14ac:dyDescent="0.2">
      <c r="A113" t="s">
        <v>118</v>
      </c>
      <c r="B113">
        <v>44</v>
      </c>
      <c r="C113">
        <v>738</v>
      </c>
      <c r="D113">
        <v>100</v>
      </c>
      <c r="E113" t="s">
        <v>6</v>
      </c>
      <c r="F113" t="str">
        <f>IFERROR(VLOOKUP($A113,[1]data!$A$2:$G$50,2,FALSE),"nodata")</f>
        <v>nodata</v>
      </c>
      <c r="G113" t="str">
        <f>IFERROR(VLOOKUP($A113,[1]data!$A$2:$G$50,3,FALSE),"nodata")</f>
        <v>nodata</v>
      </c>
      <c r="H113" t="str">
        <f>IFERROR(VLOOKUP($A113,[1]data!$A$2:$G$50,4,FALSE),"nodata")</f>
        <v>nodata</v>
      </c>
      <c r="I113" t="str">
        <f>IFERROR(VLOOKUP($A113,[1]data!$A$2:$G$50,5,FALSE),"nodata")</f>
        <v>nodata</v>
      </c>
      <c r="J113" t="str">
        <f>IFERROR(VLOOKUP($A113,[1]data!$A$2:$G$50,6,FALSE),"nodata")</f>
        <v>nodata</v>
      </c>
      <c r="K113" t="str">
        <f>IFERROR(VLOOKUP($A113,[1]data!$A$2:$G$50,7,FALSE),"nodata")</f>
        <v>nodata</v>
      </c>
      <c r="L113">
        <f>VLOOKUP(A113,[2]Sheet1!$A$2:$G$265,7,FALSE)</f>
        <v>3549750</v>
      </c>
      <c r="M113" t="str">
        <f t="shared" si="1"/>
        <v>nodata</v>
      </c>
    </row>
    <row r="114" spans="1:13" x14ac:dyDescent="0.2">
      <c r="A114" t="s">
        <v>119</v>
      </c>
      <c r="B114">
        <v>64</v>
      </c>
      <c r="C114">
        <v>579</v>
      </c>
      <c r="D114">
        <v>82</v>
      </c>
      <c r="E114" t="s">
        <v>6</v>
      </c>
      <c r="F114" t="str">
        <f>IFERROR(VLOOKUP($A114,[1]data!$A$2:$G$50,2,FALSE),"nodata")</f>
        <v>nodata</v>
      </c>
      <c r="G114" t="str">
        <f>IFERROR(VLOOKUP($A114,[1]data!$A$2:$G$50,3,FALSE),"nodata")</f>
        <v>nodata</v>
      </c>
      <c r="H114" t="str">
        <f>IFERROR(VLOOKUP($A114,[1]data!$A$2:$G$50,4,FALSE),"nodata")</f>
        <v>nodata</v>
      </c>
      <c r="I114" t="str">
        <f>IFERROR(VLOOKUP($A114,[1]data!$A$2:$G$50,5,FALSE),"nodata")</f>
        <v>nodata</v>
      </c>
      <c r="J114" t="str">
        <f>IFERROR(VLOOKUP($A114,[1]data!$A$2:$G$50,6,FALSE),"nodata")</f>
        <v>nodata</v>
      </c>
      <c r="K114" t="str">
        <f>IFERROR(VLOOKUP($A114,[1]data!$A$2:$G$50,7,FALSE),"nodata")</f>
        <v>nodata</v>
      </c>
      <c r="L114">
        <f>VLOOKUP(A114,[2]Sheet1!$A$2:$G$265,7,FALSE)</f>
        <v>3075647</v>
      </c>
      <c r="M114" t="str">
        <f t="shared" si="1"/>
        <v>nodata</v>
      </c>
    </row>
    <row r="115" spans="1:13" x14ac:dyDescent="0.2">
      <c r="A115" t="s">
        <v>120</v>
      </c>
      <c r="B115">
        <v>51</v>
      </c>
      <c r="C115">
        <v>441</v>
      </c>
      <c r="D115">
        <v>100</v>
      </c>
      <c r="E115" t="s">
        <v>6</v>
      </c>
      <c r="F115" t="str">
        <f>IFERROR(VLOOKUP($A115,[1]data!$A$2:$G$50,2,FALSE),"nodata")</f>
        <v>nodata</v>
      </c>
      <c r="G115" t="str">
        <f>IFERROR(VLOOKUP($A115,[1]data!$A$2:$G$50,3,FALSE),"nodata")</f>
        <v>nodata</v>
      </c>
      <c r="H115" t="str">
        <f>IFERROR(VLOOKUP($A115,[1]data!$A$2:$G$50,4,FALSE),"nodata")</f>
        <v>nodata</v>
      </c>
      <c r="I115" t="str">
        <f>IFERROR(VLOOKUP($A115,[1]data!$A$2:$G$50,5,FALSE),"nodata")</f>
        <v>nodata</v>
      </c>
      <c r="J115" t="str">
        <f>IFERROR(VLOOKUP($A115,[1]data!$A$2:$G$50,6,FALSE),"nodata")</f>
        <v>nodata</v>
      </c>
      <c r="K115" t="str">
        <f>IFERROR(VLOOKUP($A115,[1]data!$A$2:$G$50,7,FALSE),"nodata")</f>
        <v>nodata</v>
      </c>
      <c r="L115">
        <f>VLOOKUP(A115,[2]Sheet1!$A$2:$G$265,7,FALSE)</f>
        <v>622471</v>
      </c>
      <c r="M115" t="str">
        <f t="shared" si="1"/>
        <v>nodata</v>
      </c>
    </row>
    <row r="116" spans="1:13" x14ac:dyDescent="0.2">
      <c r="A116" t="s">
        <v>121</v>
      </c>
      <c r="B116">
        <v>68</v>
      </c>
      <c r="C116">
        <v>1770</v>
      </c>
      <c r="D116">
        <v>100</v>
      </c>
      <c r="E116" t="s">
        <v>6</v>
      </c>
      <c r="F116">
        <f>IFERROR(VLOOKUP($A116,[1]data!$A$2:$G$50,2,FALSE),"nodata")</f>
        <v>406318</v>
      </c>
      <c r="G116">
        <f>IFERROR(VLOOKUP($A116,[1]data!$A$2:$G$50,3,FALSE),"nodata")</f>
        <v>15127</v>
      </c>
      <c r="H116">
        <f>IFERROR(VLOOKUP($A116,[1]data!$A$2:$G$50,4,FALSE),"nodata")</f>
        <v>15155</v>
      </c>
      <c r="I116">
        <f>IFERROR(VLOOKUP($A116,[1]data!$A$2:$G$50,5,FALSE),"nodata")</f>
        <v>11297</v>
      </c>
      <c r="J116">
        <f>IFERROR(VLOOKUP($A116,[1]data!$A$2:$G$50,6,FALSE),"nodata")</f>
        <v>41579</v>
      </c>
      <c r="K116">
        <f>IFERROR(VLOOKUP($A116,[1]data!$A$2:$G$50,7,FALSE),"nodata")</f>
        <v>0.10233117902726437</v>
      </c>
      <c r="L116">
        <f>VLOOKUP(A116,[2]Sheet1!$A$2:$G$265,7,FALSE)</f>
        <v>35739580</v>
      </c>
      <c r="M116">
        <f t="shared" si="1"/>
        <v>1.1633880420530963E-3</v>
      </c>
    </row>
    <row r="117" spans="1:13" x14ac:dyDescent="0.2">
      <c r="A117" t="s">
        <v>122</v>
      </c>
      <c r="B117">
        <v>137</v>
      </c>
      <c r="C117">
        <v>2509</v>
      </c>
      <c r="D117">
        <v>24</v>
      </c>
      <c r="E117" t="s">
        <v>10</v>
      </c>
      <c r="F117">
        <f>IFERROR(VLOOKUP($A117,[1]data!$A$2:$G$50,2,FALSE),"nodata")</f>
        <v>786096</v>
      </c>
      <c r="G117">
        <f>IFERROR(VLOOKUP($A117,[1]data!$A$2:$G$50,3,FALSE),"nodata")</f>
        <v>16851</v>
      </c>
      <c r="H117">
        <f>IFERROR(VLOOKUP($A117,[1]data!$A$2:$G$50,4,FALSE),"nodata")</f>
        <v>22024</v>
      </c>
      <c r="I117">
        <f>IFERROR(VLOOKUP($A117,[1]data!$A$2:$G$50,5,FALSE),"nodata")</f>
        <v>10805</v>
      </c>
      <c r="J117">
        <f>IFERROR(VLOOKUP($A117,[1]data!$A$2:$G$50,6,FALSE),"nodata")</f>
        <v>49680</v>
      </c>
      <c r="K117">
        <f>IFERROR(VLOOKUP($A117,[1]data!$A$2:$G$50,7,FALSE),"nodata")</f>
        <v>6.31983879831471E-2</v>
      </c>
      <c r="L117">
        <f>VLOOKUP(A117,[2]Sheet1!$A$2:$G$265,7,FALSE)</f>
        <v>29668834</v>
      </c>
      <c r="M117">
        <f t="shared" si="1"/>
        <v>1.6744844101389358E-3</v>
      </c>
    </row>
    <row r="118" spans="1:13" x14ac:dyDescent="0.2">
      <c r="A118" t="s">
        <v>123</v>
      </c>
      <c r="B118">
        <v>170</v>
      </c>
      <c r="C118">
        <v>1270</v>
      </c>
      <c r="D118">
        <v>57</v>
      </c>
      <c r="E118" t="s">
        <v>6</v>
      </c>
      <c r="F118" t="str">
        <f>IFERROR(VLOOKUP($A118,[1]data!$A$2:$G$50,2,FALSE),"nodata")</f>
        <v>nodata</v>
      </c>
      <c r="G118" t="str">
        <f>IFERROR(VLOOKUP($A118,[1]data!$A$2:$G$50,3,FALSE),"nodata")</f>
        <v>nodata</v>
      </c>
      <c r="H118" t="str">
        <f>IFERROR(VLOOKUP($A118,[1]data!$A$2:$G$50,4,FALSE),"nodata")</f>
        <v>nodata</v>
      </c>
      <c r="I118" t="str">
        <f>IFERROR(VLOOKUP($A118,[1]data!$A$2:$G$50,5,FALSE),"nodata")</f>
        <v>nodata</v>
      </c>
      <c r="J118" t="str">
        <f>IFERROR(VLOOKUP($A118,[1]data!$A$2:$G$50,6,FALSE),"nodata")</f>
        <v>nodata</v>
      </c>
      <c r="K118" t="str">
        <f>IFERROR(VLOOKUP($A118,[1]data!$A$2:$G$50,7,FALSE),"nodata")</f>
        <v>nodata</v>
      </c>
      <c r="L118">
        <f>VLOOKUP(A118,[2]Sheet1!$A$2:$G$265,7,FALSE)</f>
        <v>53370609</v>
      </c>
      <c r="M118" t="str">
        <f t="shared" si="1"/>
        <v>nodata</v>
      </c>
    </row>
    <row r="119" spans="1:13" x14ac:dyDescent="0.2">
      <c r="A119" t="s">
        <v>124</v>
      </c>
      <c r="B119">
        <v>108</v>
      </c>
      <c r="C119">
        <v>349</v>
      </c>
      <c r="D119">
        <v>52</v>
      </c>
      <c r="E119" t="s">
        <v>10</v>
      </c>
      <c r="F119">
        <f>IFERROR(VLOOKUP($A119,[1]data!$A$2:$G$50,2,FALSE),"nodata")</f>
        <v>824205</v>
      </c>
      <c r="G119">
        <f>IFERROR(VLOOKUP($A119,[1]data!$A$2:$G$50,3,FALSE),"nodata")</f>
        <v>29716</v>
      </c>
      <c r="H119">
        <f>IFERROR(VLOOKUP($A119,[1]data!$A$2:$G$50,4,FALSE),"nodata")</f>
        <v>26183</v>
      </c>
      <c r="I119">
        <f>IFERROR(VLOOKUP($A119,[1]data!$A$2:$G$50,5,FALSE),"nodata")</f>
        <v>15196</v>
      </c>
      <c r="J119">
        <f>IFERROR(VLOOKUP($A119,[1]data!$A$2:$G$50,6,FALSE),"nodata")</f>
        <v>71095</v>
      </c>
      <c r="K119">
        <f>IFERROR(VLOOKUP($A119,[1]data!$A$2:$G$50,7,FALSE),"nodata")</f>
        <v>8.6258879768989508E-2</v>
      </c>
      <c r="L119">
        <f>VLOOKUP(A119,[2]Sheet1!$A$2:$G$265,7,FALSE)</f>
        <v>2533794</v>
      </c>
      <c r="M119">
        <f t="shared" si="1"/>
        <v>2.8058713533933698E-2</v>
      </c>
    </row>
    <row r="120" spans="1:13" x14ac:dyDescent="0.2">
      <c r="A120" t="s">
        <v>125</v>
      </c>
      <c r="B120">
        <v>107</v>
      </c>
      <c r="C120">
        <v>1042</v>
      </c>
      <c r="D120">
        <v>91</v>
      </c>
      <c r="E120" t="s">
        <v>6</v>
      </c>
      <c r="F120" t="str">
        <f>IFERROR(VLOOKUP($A120,[1]data!$A$2:$G$50,2,FALSE),"nodata")</f>
        <v>nodata</v>
      </c>
      <c r="G120" t="str">
        <f>IFERROR(VLOOKUP($A120,[1]data!$A$2:$G$50,3,FALSE),"nodata")</f>
        <v>nodata</v>
      </c>
      <c r="H120" t="str">
        <f>IFERROR(VLOOKUP($A120,[1]data!$A$2:$G$50,4,FALSE),"nodata")</f>
        <v>nodata</v>
      </c>
      <c r="I120" t="str">
        <f>IFERROR(VLOOKUP($A120,[1]data!$A$2:$G$50,5,FALSE),"nodata")</f>
        <v>nodata</v>
      </c>
      <c r="J120" t="str">
        <f>IFERROR(VLOOKUP($A120,[1]data!$A$2:$G$50,6,FALSE),"nodata")</f>
        <v>nodata</v>
      </c>
      <c r="K120" t="str">
        <f>IFERROR(VLOOKUP($A120,[1]data!$A$2:$G$50,7,FALSE),"nodata")</f>
        <v>nodata</v>
      </c>
      <c r="L120">
        <f>VLOOKUP(A120,[2]Sheet1!$A$2:$G$265,7,FALSE)</f>
        <v>29304998</v>
      </c>
      <c r="M120" t="str">
        <f t="shared" si="1"/>
        <v>nodata</v>
      </c>
    </row>
    <row r="121" spans="1:13" x14ac:dyDescent="0.2">
      <c r="A121" t="s">
        <v>126</v>
      </c>
      <c r="B121">
        <v>28</v>
      </c>
      <c r="C121">
        <v>30</v>
      </c>
      <c r="D121">
        <v>100</v>
      </c>
      <c r="E121" t="s">
        <v>6</v>
      </c>
      <c r="F121" t="str">
        <f>IFERROR(VLOOKUP($A121,[1]data!$A$2:$G$50,2,FALSE),"nodata")</f>
        <v>nodata</v>
      </c>
      <c r="G121" t="str">
        <f>IFERROR(VLOOKUP($A121,[1]data!$A$2:$G$50,3,FALSE),"nodata")</f>
        <v>nodata</v>
      </c>
      <c r="H121" t="str">
        <f>IFERROR(VLOOKUP($A121,[1]data!$A$2:$G$50,4,FALSE),"nodata")</f>
        <v>nodata</v>
      </c>
      <c r="I121" t="str">
        <f>IFERROR(VLOOKUP($A121,[1]data!$A$2:$G$50,5,FALSE),"nodata")</f>
        <v>nodata</v>
      </c>
      <c r="J121" t="str">
        <f>IFERROR(VLOOKUP($A121,[1]data!$A$2:$G$50,6,FALSE),"nodata")</f>
        <v>nodata</v>
      </c>
      <c r="K121" t="str">
        <f>IFERROR(VLOOKUP($A121,[1]data!$A$2:$G$50,7,FALSE),"nodata")</f>
        <v>nodata</v>
      </c>
      <c r="L121">
        <f>VLOOKUP(A121,[2]Sheet1!$A$2:$G$265,7,FALSE)</f>
        <v>17132854</v>
      </c>
      <c r="M121" t="str">
        <f t="shared" si="1"/>
        <v>nodata</v>
      </c>
    </row>
    <row r="122" spans="1:13" x14ac:dyDescent="0.2">
      <c r="A122" t="s">
        <v>127</v>
      </c>
      <c r="B122">
        <v>1</v>
      </c>
      <c r="C122">
        <v>76</v>
      </c>
      <c r="D122">
        <v>100</v>
      </c>
      <c r="E122" t="s">
        <v>51</v>
      </c>
      <c r="F122" t="str">
        <f>IFERROR(VLOOKUP($A122,[1]data!$A$2:$G$50,2,FALSE),"nodata")</f>
        <v>nodata</v>
      </c>
      <c r="G122" t="str">
        <f>IFERROR(VLOOKUP($A122,[1]data!$A$2:$G$50,3,FALSE),"nodata")</f>
        <v>nodata</v>
      </c>
      <c r="H122" t="str">
        <f>IFERROR(VLOOKUP($A122,[1]data!$A$2:$G$50,4,FALSE),"nodata")</f>
        <v>nodata</v>
      </c>
      <c r="I122" t="str">
        <f>IFERROR(VLOOKUP($A122,[1]data!$A$2:$G$50,5,FALSE),"nodata")</f>
        <v>nodata</v>
      </c>
      <c r="J122" t="str">
        <f>IFERROR(VLOOKUP($A122,[1]data!$A$2:$G$50,6,FALSE),"nodata")</f>
        <v>nodata</v>
      </c>
      <c r="K122" t="str">
        <f>IFERROR(VLOOKUP($A122,[1]data!$A$2:$G$50,7,FALSE),"nodata")</f>
        <v>nodata</v>
      </c>
      <c r="L122">
        <f>VLOOKUP(A122,[2]Sheet1!$A$2:$G$265,7,FALSE)</f>
        <v>4793900</v>
      </c>
      <c r="M122" t="str">
        <f t="shared" si="1"/>
        <v>nodata</v>
      </c>
    </row>
    <row r="123" spans="1:13" x14ac:dyDescent="0.2">
      <c r="A123" t="s">
        <v>128</v>
      </c>
      <c r="B123">
        <v>127</v>
      </c>
      <c r="C123">
        <v>904</v>
      </c>
      <c r="D123">
        <v>82</v>
      </c>
      <c r="E123" t="s">
        <v>6</v>
      </c>
      <c r="F123" t="str">
        <f>IFERROR(VLOOKUP($A123,[1]data!$A$2:$G$50,2,FALSE),"nodata")</f>
        <v>nodata</v>
      </c>
      <c r="G123" t="str">
        <f>IFERROR(VLOOKUP($A123,[1]data!$A$2:$G$50,3,FALSE),"nodata")</f>
        <v>nodata</v>
      </c>
      <c r="H123" t="str">
        <f>IFERROR(VLOOKUP($A123,[1]data!$A$2:$G$50,4,FALSE),"nodata")</f>
        <v>nodata</v>
      </c>
      <c r="I123" t="str">
        <f>IFERROR(VLOOKUP($A123,[1]data!$A$2:$G$50,5,FALSE),"nodata")</f>
        <v>nodata</v>
      </c>
      <c r="J123" t="str">
        <f>IFERROR(VLOOKUP($A123,[1]data!$A$2:$G$50,6,FALSE),"nodata")</f>
        <v>nodata</v>
      </c>
      <c r="K123" t="str">
        <f>IFERROR(VLOOKUP($A123,[1]data!$A$2:$G$50,7,FALSE),"nodata")</f>
        <v>nodata</v>
      </c>
      <c r="L123">
        <f>VLOOKUP(A123,[2]Sheet1!$A$2:$G$265,7,FALSE)</f>
        <v>6217581</v>
      </c>
      <c r="M123" t="str">
        <f t="shared" si="1"/>
        <v>nodata</v>
      </c>
    </row>
    <row r="124" spans="1:13" x14ac:dyDescent="0.2">
      <c r="A124" t="s">
        <v>129</v>
      </c>
      <c r="B124">
        <v>150</v>
      </c>
      <c r="C124">
        <v>5427</v>
      </c>
      <c r="D124">
        <v>16</v>
      </c>
      <c r="E124" t="s">
        <v>10</v>
      </c>
      <c r="F124">
        <f>IFERROR(VLOOKUP($A124,[1]data!$A$2:$G$50,2,FALSE),"nodata")</f>
        <v>1183766</v>
      </c>
      <c r="G124">
        <f>IFERROR(VLOOKUP($A124,[1]data!$A$2:$G$50,3,FALSE),"nodata")</f>
        <v>8829</v>
      </c>
      <c r="H124">
        <f>IFERROR(VLOOKUP($A124,[1]data!$A$2:$G$50,4,FALSE),"nodata")</f>
        <v>15669</v>
      </c>
      <c r="I124">
        <f>IFERROR(VLOOKUP($A124,[1]data!$A$2:$G$50,5,FALSE),"nodata")</f>
        <v>14628</v>
      </c>
      <c r="J124">
        <f>IFERROR(VLOOKUP($A124,[1]data!$A$2:$G$50,6,FALSE),"nodata")</f>
        <v>39126</v>
      </c>
      <c r="K124">
        <f>IFERROR(VLOOKUP($A124,[1]data!$A$2:$G$50,7,FALSE),"nodata")</f>
        <v>3.3052140372337099E-2</v>
      </c>
      <c r="L124">
        <f>VLOOKUP(A124,[2]Sheet1!$A$2:$G$265,7,FALSE)</f>
        <v>21477348</v>
      </c>
      <c r="M124">
        <f t="shared" si="1"/>
        <v>1.8217332977982198E-3</v>
      </c>
    </row>
    <row r="125" spans="1:13" x14ac:dyDescent="0.2">
      <c r="A125" t="s">
        <v>130</v>
      </c>
      <c r="B125">
        <v>169</v>
      </c>
      <c r="C125">
        <v>440</v>
      </c>
      <c r="D125">
        <v>59</v>
      </c>
      <c r="E125" t="s">
        <v>10</v>
      </c>
      <c r="F125">
        <f>IFERROR(VLOOKUP($A125,[1]data!$A$2:$G$50,2,FALSE),"nodata")</f>
        <v>909481</v>
      </c>
      <c r="G125">
        <f>IFERROR(VLOOKUP($A125,[1]data!$A$2:$G$50,3,FALSE),"nodata")</f>
        <v>10045</v>
      </c>
      <c r="H125">
        <f>IFERROR(VLOOKUP($A125,[1]data!$A$2:$G$50,4,FALSE),"nodata")</f>
        <v>32456</v>
      </c>
      <c r="I125">
        <f>IFERROR(VLOOKUP($A125,[1]data!$A$2:$G$50,5,FALSE),"nodata")</f>
        <v>12867</v>
      </c>
      <c r="J125">
        <f>IFERROR(VLOOKUP($A125,[1]data!$A$2:$G$50,6,FALSE),"nodata")</f>
        <v>55368</v>
      </c>
      <c r="K125">
        <f>IFERROR(VLOOKUP($A125,[1]data!$A$2:$G$50,7,FALSE),"nodata")</f>
        <v>6.0878676959716584E-2</v>
      </c>
      <c r="L125">
        <f>VLOOKUP(A125,[2]Sheet1!$A$2:$G$265,7,FALSE)</f>
        <v>190886311</v>
      </c>
      <c r="M125">
        <f t="shared" si="1"/>
        <v>2.9005746776676931E-4</v>
      </c>
    </row>
    <row r="126" spans="1:13" x14ac:dyDescent="0.2">
      <c r="A126" t="s">
        <v>131</v>
      </c>
      <c r="B126">
        <v>6</v>
      </c>
      <c r="C126">
        <v>11</v>
      </c>
      <c r="D126">
        <v>100</v>
      </c>
      <c r="E126" t="s">
        <v>51</v>
      </c>
      <c r="F126" t="str">
        <f>IFERROR(VLOOKUP($A126,[1]data!$A$2:$G$50,2,FALSE),"nodata")</f>
        <v>nodata</v>
      </c>
      <c r="G126" t="str">
        <f>IFERROR(VLOOKUP($A126,[1]data!$A$2:$G$50,3,FALSE),"nodata")</f>
        <v>nodata</v>
      </c>
      <c r="H126" t="str">
        <f>IFERROR(VLOOKUP($A126,[1]data!$A$2:$G$50,4,FALSE),"nodata")</f>
        <v>nodata</v>
      </c>
      <c r="I126" t="str">
        <f>IFERROR(VLOOKUP($A126,[1]data!$A$2:$G$50,5,FALSE),"nodata")</f>
        <v>nodata</v>
      </c>
      <c r="J126" t="str">
        <f>IFERROR(VLOOKUP($A126,[1]data!$A$2:$G$50,6,FALSE),"nodata")</f>
        <v>nodata</v>
      </c>
      <c r="K126" t="str">
        <f>IFERROR(VLOOKUP($A126,[1]data!$A$2:$G$50,7,FALSE),"nodata")</f>
        <v>nodata</v>
      </c>
      <c r="L126">
        <f>VLOOKUP(A126,[2]Sheet1!$A$2:$G$265,7,FALSE)</f>
        <v>5282223</v>
      </c>
      <c r="M126" t="str">
        <f t="shared" si="1"/>
        <v>nodata</v>
      </c>
    </row>
    <row r="127" spans="1:13" x14ac:dyDescent="0.2">
      <c r="A127" t="s">
        <v>132</v>
      </c>
      <c r="B127">
        <v>66</v>
      </c>
      <c r="C127">
        <v>81</v>
      </c>
      <c r="D127">
        <v>100</v>
      </c>
      <c r="E127" t="s">
        <v>6</v>
      </c>
      <c r="F127" t="str">
        <f>IFERROR(VLOOKUP($A127,[1]data!$A$2:$G$50,2,FALSE),"nodata")</f>
        <v>nodata</v>
      </c>
      <c r="G127" t="str">
        <f>IFERROR(VLOOKUP($A127,[1]data!$A$2:$G$50,3,FALSE),"nodata")</f>
        <v>nodata</v>
      </c>
      <c r="H127" t="str">
        <f>IFERROR(VLOOKUP($A127,[1]data!$A$2:$G$50,4,FALSE),"nodata")</f>
        <v>nodata</v>
      </c>
      <c r="I127" t="str">
        <f>IFERROR(VLOOKUP($A127,[1]data!$A$2:$G$50,5,FALSE),"nodata")</f>
        <v>nodata</v>
      </c>
      <c r="J127" t="str">
        <f>IFERROR(VLOOKUP($A127,[1]data!$A$2:$G$50,6,FALSE),"nodata")</f>
        <v>nodata</v>
      </c>
      <c r="K127" t="str">
        <f>IFERROR(VLOOKUP($A127,[1]data!$A$2:$G$50,7,FALSE),"nodata")</f>
        <v>nodata</v>
      </c>
      <c r="L127">
        <f>VLOOKUP(A127,[2]Sheet1!$A$2:$G$265,7,FALSE)</f>
        <v>4636262</v>
      </c>
      <c r="M127" t="str">
        <f t="shared" si="1"/>
        <v>nodata</v>
      </c>
    </row>
    <row r="128" spans="1:13" x14ac:dyDescent="0.2">
      <c r="A128" t="s">
        <v>133</v>
      </c>
      <c r="B128">
        <v>144</v>
      </c>
      <c r="C128">
        <v>1772</v>
      </c>
      <c r="D128">
        <v>99</v>
      </c>
      <c r="E128" t="s">
        <v>6</v>
      </c>
      <c r="F128" t="str">
        <f>IFERROR(VLOOKUP($A128,[1]data!$A$2:$G$50,2,FALSE),"nodata")</f>
        <v>nodata</v>
      </c>
      <c r="G128" t="str">
        <f>IFERROR(VLOOKUP($A128,[1]data!$A$2:$G$50,3,FALSE),"nodata")</f>
        <v>nodata</v>
      </c>
      <c r="H128" t="str">
        <f>IFERROR(VLOOKUP($A128,[1]data!$A$2:$G$50,4,FALSE),"nodata")</f>
        <v>nodata</v>
      </c>
      <c r="I128" t="str">
        <f>IFERROR(VLOOKUP($A128,[1]data!$A$2:$G$50,5,FALSE),"nodata")</f>
        <v>nodata</v>
      </c>
      <c r="J128" t="str">
        <f>IFERROR(VLOOKUP($A128,[1]data!$A$2:$G$50,6,FALSE),"nodata")</f>
        <v>nodata</v>
      </c>
      <c r="K128" t="str">
        <f>IFERROR(VLOOKUP($A128,[1]data!$A$2:$G$50,7,FALSE),"nodata")</f>
        <v>nodata</v>
      </c>
      <c r="L128">
        <f>VLOOKUP(A128,[2]Sheet1!$A$2:$G$265,7,FALSE)</f>
        <v>197015955</v>
      </c>
      <c r="M128" t="str">
        <f t="shared" si="1"/>
        <v>nodata</v>
      </c>
    </row>
    <row r="129" spans="1:13" x14ac:dyDescent="0.2">
      <c r="A129" t="s">
        <v>134</v>
      </c>
      <c r="B129">
        <v>136</v>
      </c>
      <c r="C129">
        <v>65</v>
      </c>
      <c r="D129">
        <v>99</v>
      </c>
      <c r="E129" t="s">
        <v>6</v>
      </c>
      <c r="F129" t="str">
        <f>IFERROR(VLOOKUP($A129,[1]data!$A$2:$G$50,2,FALSE),"nodata")</f>
        <v>nodata</v>
      </c>
      <c r="G129" t="str">
        <f>IFERROR(VLOOKUP($A129,[1]data!$A$2:$G$50,3,FALSE),"nodata")</f>
        <v>nodata</v>
      </c>
      <c r="H129" t="str">
        <f>IFERROR(VLOOKUP($A129,[1]data!$A$2:$G$50,4,FALSE),"nodata")</f>
        <v>nodata</v>
      </c>
      <c r="I129" t="str">
        <f>IFERROR(VLOOKUP($A129,[1]data!$A$2:$G$50,5,FALSE),"nodata")</f>
        <v>nodata</v>
      </c>
      <c r="J129" t="str">
        <f>IFERROR(VLOOKUP($A129,[1]data!$A$2:$G$50,6,FALSE),"nodata")</f>
        <v>nodata</v>
      </c>
      <c r="K129" t="str">
        <f>IFERROR(VLOOKUP($A129,[1]data!$A$2:$G$50,7,FALSE),"nodata")</f>
        <v>nodata</v>
      </c>
      <c r="L129">
        <f>VLOOKUP(A129,[2]Sheet1!$A$2:$G$265,7,FALSE)</f>
        <v>21729</v>
      </c>
      <c r="M129" t="str">
        <f t="shared" si="1"/>
        <v>nodata</v>
      </c>
    </row>
    <row r="130" spans="1:13" x14ac:dyDescent="0.2">
      <c r="A130" t="s">
        <v>135</v>
      </c>
      <c r="B130">
        <v>70</v>
      </c>
      <c r="C130">
        <v>9</v>
      </c>
      <c r="D130">
        <v>93</v>
      </c>
      <c r="E130" t="s">
        <v>6</v>
      </c>
      <c r="F130" t="str">
        <f>IFERROR(VLOOKUP($A130,[1]data!$A$2:$G$50,2,FALSE),"nodata")</f>
        <v>nodata</v>
      </c>
      <c r="G130" t="str">
        <f>IFERROR(VLOOKUP($A130,[1]data!$A$2:$G$50,3,FALSE),"nodata")</f>
        <v>nodata</v>
      </c>
      <c r="H130" t="str">
        <f>IFERROR(VLOOKUP($A130,[1]data!$A$2:$G$50,4,FALSE),"nodata")</f>
        <v>nodata</v>
      </c>
      <c r="I130" t="str">
        <f>IFERROR(VLOOKUP($A130,[1]data!$A$2:$G$50,5,FALSE),"nodata")</f>
        <v>nodata</v>
      </c>
      <c r="J130" t="str">
        <f>IFERROR(VLOOKUP($A130,[1]data!$A$2:$G$50,6,FALSE),"nodata")</f>
        <v>nodata</v>
      </c>
      <c r="K130" t="str">
        <f>IFERROR(VLOOKUP($A130,[1]data!$A$2:$G$50,7,FALSE),"nodata")</f>
        <v>nodata</v>
      </c>
      <c r="L130">
        <f>VLOOKUP(A130,[2]Sheet1!$A$2:$G$265,7,FALSE)</f>
        <v>4098587</v>
      </c>
      <c r="M130" t="str">
        <f t="shared" si="1"/>
        <v>nodata</v>
      </c>
    </row>
    <row r="131" spans="1:13" x14ac:dyDescent="0.2">
      <c r="A131" t="s">
        <v>136</v>
      </c>
      <c r="B131">
        <v>119</v>
      </c>
      <c r="C131">
        <v>38</v>
      </c>
      <c r="D131">
        <v>23</v>
      </c>
      <c r="E131" t="s">
        <v>6</v>
      </c>
      <c r="F131" t="str">
        <f>IFERROR(VLOOKUP($A131,[1]data!$A$2:$G$50,2,FALSE),"nodata")</f>
        <v>nodata</v>
      </c>
      <c r="G131" t="str">
        <f>IFERROR(VLOOKUP($A131,[1]data!$A$2:$G$50,3,FALSE),"nodata")</f>
        <v>nodata</v>
      </c>
      <c r="H131" t="str">
        <f>IFERROR(VLOOKUP($A131,[1]data!$A$2:$G$50,4,FALSE),"nodata")</f>
        <v>nodata</v>
      </c>
      <c r="I131" t="str">
        <f>IFERROR(VLOOKUP($A131,[1]data!$A$2:$G$50,5,FALSE),"nodata")</f>
        <v>nodata</v>
      </c>
      <c r="J131" t="str">
        <f>IFERROR(VLOOKUP($A131,[1]data!$A$2:$G$50,6,FALSE),"nodata")</f>
        <v>nodata</v>
      </c>
      <c r="K131" t="str">
        <f>IFERROR(VLOOKUP($A131,[1]data!$A$2:$G$50,7,FALSE),"nodata")</f>
        <v>nodata</v>
      </c>
      <c r="L131">
        <f>VLOOKUP(A131,[2]Sheet1!$A$2:$G$265,7,FALSE)</f>
        <v>8251162</v>
      </c>
      <c r="M131" t="str">
        <f t="shared" ref="M131:M190" si="2">IFERROR(J131/L131,"nodata")</f>
        <v>nodata</v>
      </c>
    </row>
    <row r="132" spans="1:13" x14ac:dyDescent="0.2">
      <c r="A132" t="s">
        <v>137</v>
      </c>
      <c r="B132">
        <v>106</v>
      </c>
      <c r="C132">
        <v>152</v>
      </c>
      <c r="D132">
        <v>98</v>
      </c>
      <c r="E132" t="s">
        <v>6</v>
      </c>
      <c r="F132" t="str">
        <f>IFERROR(VLOOKUP($A132,[1]data!$A$2:$G$50,2,FALSE),"nodata")</f>
        <v>nodata</v>
      </c>
      <c r="G132" t="str">
        <f>IFERROR(VLOOKUP($A132,[1]data!$A$2:$G$50,3,FALSE),"nodata")</f>
        <v>nodata</v>
      </c>
      <c r="H132" t="str">
        <f>IFERROR(VLOOKUP($A132,[1]data!$A$2:$G$50,4,FALSE),"nodata")</f>
        <v>nodata</v>
      </c>
      <c r="I132" t="str">
        <f>IFERROR(VLOOKUP($A132,[1]data!$A$2:$G$50,5,FALSE),"nodata")</f>
        <v>nodata</v>
      </c>
      <c r="J132" t="str">
        <f>IFERROR(VLOOKUP($A132,[1]data!$A$2:$G$50,6,FALSE),"nodata")</f>
        <v>nodata</v>
      </c>
      <c r="K132" t="str">
        <f>IFERROR(VLOOKUP($A132,[1]data!$A$2:$G$50,7,FALSE),"nodata")</f>
        <v>nodata</v>
      </c>
      <c r="L132">
        <f>VLOOKUP(A132,[2]Sheet1!$A$2:$G$265,7,FALSE)</f>
        <v>6811297</v>
      </c>
      <c r="M132" t="str">
        <f t="shared" si="2"/>
        <v>nodata</v>
      </c>
    </row>
    <row r="133" spans="1:13" x14ac:dyDescent="0.2">
      <c r="A133" t="s">
        <v>138</v>
      </c>
      <c r="B133">
        <v>54</v>
      </c>
      <c r="C133">
        <v>336</v>
      </c>
      <c r="D133">
        <v>95</v>
      </c>
      <c r="E133" t="s">
        <v>6</v>
      </c>
      <c r="F133" t="str">
        <f>IFERROR(VLOOKUP($A133,[1]data!$A$2:$G$50,2,FALSE),"nodata")</f>
        <v>nodata</v>
      </c>
      <c r="G133" t="str">
        <f>IFERROR(VLOOKUP($A133,[1]data!$A$2:$G$50,3,FALSE),"nodata")</f>
        <v>nodata</v>
      </c>
      <c r="H133" t="str">
        <f>IFERROR(VLOOKUP($A133,[1]data!$A$2:$G$50,4,FALSE),"nodata")</f>
        <v>nodata</v>
      </c>
      <c r="I133" t="str">
        <f>IFERROR(VLOOKUP($A133,[1]data!$A$2:$G$50,5,FALSE),"nodata")</f>
        <v>nodata</v>
      </c>
      <c r="J133" t="str">
        <f>IFERROR(VLOOKUP($A133,[1]data!$A$2:$G$50,6,FALSE),"nodata")</f>
        <v>nodata</v>
      </c>
      <c r="K133" t="str">
        <f>IFERROR(VLOOKUP($A133,[1]data!$A$2:$G$50,7,FALSE),"nodata")</f>
        <v>nodata</v>
      </c>
      <c r="L133">
        <f>VLOOKUP(A133,[2]Sheet1!$A$2:$G$265,7,FALSE)</f>
        <v>32165485</v>
      </c>
      <c r="M133" t="str">
        <f t="shared" si="2"/>
        <v>nodata</v>
      </c>
    </row>
    <row r="134" spans="1:13" x14ac:dyDescent="0.2">
      <c r="A134" t="s">
        <v>139</v>
      </c>
      <c r="B134">
        <v>99</v>
      </c>
      <c r="C134">
        <v>26</v>
      </c>
      <c r="D134">
        <v>91</v>
      </c>
      <c r="E134" t="s">
        <v>6</v>
      </c>
      <c r="F134" t="str">
        <f>IFERROR(VLOOKUP($A134,[1]data!$A$2:$G$50,2,FALSE),"nodata")</f>
        <v>nodata</v>
      </c>
      <c r="G134" t="str">
        <f>IFERROR(VLOOKUP($A134,[1]data!$A$2:$G$50,3,FALSE),"nodata")</f>
        <v>nodata</v>
      </c>
      <c r="H134" t="str">
        <f>IFERROR(VLOOKUP($A134,[1]data!$A$2:$G$50,4,FALSE),"nodata")</f>
        <v>nodata</v>
      </c>
      <c r="I134" t="str">
        <f>IFERROR(VLOOKUP($A134,[1]data!$A$2:$G$50,5,FALSE),"nodata")</f>
        <v>nodata</v>
      </c>
      <c r="J134" t="str">
        <f>IFERROR(VLOOKUP($A134,[1]data!$A$2:$G$50,6,FALSE),"nodata")</f>
        <v>nodata</v>
      </c>
      <c r="K134" t="str">
        <f>IFERROR(VLOOKUP($A134,[1]data!$A$2:$G$50,7,FALSE),"nodata")</f>
        <v>nodata</v>
      </c>
      <c r="L134">
        <f>VLOOKUP(A134,[2]Sheet1!$A$2:$G$265,7,FALSE)</f>
        <v>104918090</v>
      </c>
      <c r="M134" t="str">
        <f t="shared" si="2"/>
        <v>nodata</v>
      </c>
    </row>
    <row r="135" spans="1:13" x14ac:dyDescent="0.2">
      <c r="A135" t="s">
        <v>140</v>
      </c>
      <c r="B135">
        <v>24</v>
      </c>
      <c r="C135">
        <v>19</v>
      </c>
      <c r="D135">
        <v>100</v>
      </c>
      <c r="E135" t="s">
        <v>6</v>
      </c>
      <c r="F135" t="str">
        <f>IFERROR(VLOOKUP($A135,[1]data!$A$2:$G$50,2,FALSE),"nodata")</f>
        <v>nodata</v>
      </c>
      <c r="G135" t="str">
        <f>IFERROR(VLOOKUP($A135,[1]data!$A$2:$G$50,3,FALSE),"nodata")</f>
        <v>nodata</v>
      </c>
      <c r="H135" t="str">
        <f>IFERROR(VLOOKUP($A135,[1]data!$A$2:$G$50,4,FALSE),"nodata")</f>
        <v>nodata</v>
      </c>
      <c r="I135" t="str">
        <f>IFERROR(VLOOKUP($A135,[1]data!$A$2:$G$50,5,FALSE),"nodata")</f>
        <v>nodata</v>
      </c>
      <c r="J135" t="str">
        <f>IFERROR(VLOOKUP($A135,[1]data!$A$2:$G$50,6,FALSE),"nodata")</f>
        <v>nodata</v>
      </c>
      <c r="K135" t="str">
        <f>IFERROR(VLOOKUP($A135,[1]data!$A$2:$G$50,7,FALSE),"nodata")</f>
        <v>nodata</v>
      </c>
      <c r="L135">
        <f>VLOOKUP(A135,[2]Sheet1!$A$2:$G$265,7,FALSE)</f>
        <v>37975841</v>
      </c>
      <c r="M135" t="str">
        <f t="shared" si="2"/>
        <v>nodata</v>
      </c>
    </row>
    <row r="136" spans="1:13" x14ac:dyDescent="0.2">
      <c r="A136" t="s">
        <v>141</v>
      </c>
      <c r="B136">
        <v>25</v>
      </c>
      <c r="C136">
        <v>37</v>
      </c>
      <c r="D136">
        <v>100</v>
      </c>
      <c r="E136" t="s">
        <v>6</v>
      </c>
      <c r="F136" t="str">
        <f>IFERROR(VLOOKUP($A136,[1]data!$A$2:$G$50,2,FALSE),"nodata")</f>
        <v>nodata</v>
      </c>
      <c r="G136" t="str">
        <f>IFERROR(VLOOKUP($A136,[1]data!$A$2:$G$50,3,FALSE),"nodata")</f>
        <v>nodata</v>
      </c>
      <c r="H136" t="str">
        <f>IFERROR(VLOOKUP($A136,[1]data!$A$2:$G$50,4,FALSE),"nodata")</f>
        <v>nodata</v>
      </c>
      <c r="I136" t="str">
        <f>IFERROR(VLOOKUP($A136,[1]data!$A$2:$G$50,5,FALSE),"nodata")</f>
        <v>nodata</v>
      </c>
      <c r="J136" t="str">
        <f>IFERROR(VLOOKUP($A136,[1]data!$A$2:$G$50,6,FALSE),"nodata")</f>
        <v>nodata</v>
      </c>
      <c r="K136" t="str">
        <f>IFERROR(VLOOKUP($A136,[1]data!$A$2:$G$50,7,FALSE),"nodata")</f>
        <v>nodata</v>
      </c>
      <c r="L136">
        <f>VLOOKUP(A136,[2]Sheet1!$A$2:$G$265,7,FALSE)</f>
        <v>10293718</v>
      </c>
      <c r="M136" t="str">
        <f t="shared" si="2"/>
        <v>nodata</v>
      </c>
    </row>
    <row r="137" spans="1:13" x14ac:dyDescent="0.2">
      <c r="A137" t="s">
        <v>142</v>
      </c>
      <c r="B137">
        <v>55</v>
      </c>
      <c r="C137">
        <v>354</v>
      </c>
      <c r="D137">
        <v>100</v>
      </c>
      <c r="E137" t="s">
        <v>6</v>
      </c>
      <c r="F137" t="str">
        <f>IFERROR(VLOOKUP($A137,[1]data!$A$2:$G$50,2,FALSE),"nodata")</f>
        <v>nodata</v>
      </c>
      <c r="G137" t="str">
        <f>IFERROR(VLOOKUP($A137,[1]data!$A$2:$G$50,3,FALSE),"nodata")</f>
        <v>nodata</v>
      </c>
      <c r="H137" t="str">
        <f>IFERROR(VLOOKUP($A137,[1]data!$A$2:$G$50,4,FALSE),"nodata")</f>
        <v>nodata</v>
      </c>
      <c r="I137" t="str">
        <f>IFERROR(VLOOKUP($A137,[1]data!$A$2:$G$50,5,FALSE),"nodata")</f>
        <v>nodata</v>
      </c>
      <c r="J137" t="str">
        <f>IFERROR(VLOOKUP($A137,[1]data!$A$2:$G$50,6,FALSE),"nodata")</f>
        <v>nodata</v>
      </c>
      <c r="K137" t="str">
        <f>IFERROR(VLOOKUP($A137,[1]data!$A$2:$G$50,7,FALSE),"nodata")</f>
        <v>nodata</v>
      </c>
      <c r="L137">
        <f>VLOOKUP(A137,[2]Sheet1!$A$2:$G$265,7,FALSE)</f>
        <v>3337177</v>
      </c>
      <c r="M137" t="str">
        <f t="shared" si="2"/>
        <v>nodata</v>
      </c>
    </row>
    <row r="138" spans="1:13" x14ac:dyDescent="0.2">
      <c r="A138" t="s">
        <v>143</v>
      </c>
      <c r="B138">
        <v>83</v>
      </c>
      <c r="C138">
        <v>11</v>
      </c>
      <c r="D138">
        <v>100</v>
      </c>
      <c r="E138" t="s">
        <v>6</v>
      </c>
      <c r="F138" t="str">
        <f>IFERROR(VLOOKUP($A138,[1]data!$A$2:$G$50,2,FALSE),"nodata")</f>
        <v>nodata</v>
      </c>
      <c r="G138" t="str">
        <f>IFERROR(VLOOKUP($A138,[1]data!$A$2:$G$50,3,FALSE),"nodata")</f>
        <v>nodata</v>
      </c>
      <c r="H138" t="str">
        <f>IFERROR(VLOOKUP($A138,[1]data!$A$2:$G$50,4,FALSE),"nodata")</f>
        <v>nodata</v>
      </c>
      <c r="I138" t="str">
        <f>IFERROR(VLOOKUP($A138,[1]data!$A$2:$G$50,5,FALSE),"nodata")</f>
        <v>nodata</v>
      </c>
      <c r="J138" t="str">
        <f>IFERROR(VLOOKUP($A138,[1]data!$A$2:$G$50,6,FALSE),"nodata")</f>
        <v>nodata</v>
      </c>
      <c r="K138" t="str">
        <f>IFERROR(VLOOKUP($A138,[1]data!$A$2:$G$50,7,FALSE),"nodata")</f>
        <v>nodata</v>
      </c>
      <c r="L138">
        <f>VLOOKUP(A138,[2]Sheet1!$A$2:$G$265,7,FALSE)</f>
        <v>2639211</v>
      </c>
      <c r="M138" t="str">
        <f t="shared" si="2"/>
        <v>nodata</v>
      </c>
    </row>
    <row r="139" spans="1:13" x14ac:dyDescent="0.2">
      <c r="A139" t="s">
        <v>144</v>
      </c>
      <c r="B139">
        <v>36</v>
      </c>
      <c r="C139">
        <v>547</v>
      </c>
      <c r="D139">
        <v>100</v>
      </c>
      <c r="E139" t="s">
        <v>6</v>
      </c>
      <c r="F139" t="str">
        <f>IFERROR(VLOOKUP($A139,[1]data!$A$2:$G$50,2,FALSE),"nodata")</f>
        <v>nodata</v>
      </c>
      <c r="G139" t="str">
        <f>IFERROR(VLOOKUP($A139,[1]data!$A$2:$G$50,3,FALSE),"nodata")</f>
        <v>nodata</v>
      </c>
      <c r="H139" t="str">
        <f>IFERROR(VLOOKUP($A139,[1]data!$A$2:$G$50,4,FALSE),"nodata")</f>
        <v>nodata</v>
      </c>
      <c r="I139" t="str">
        <f>IFERROR(VLOOKUP($A139,[1]data!$A$2:$G$50,5,FALSE),"nodata")</f>
        <v>nodata</v>
      </c>
      <c r="J139" t="str">
        <f>IFERROR(VLOOKUP($A139,[1]data!$A$2:$G$50,6,FALSE),"nodata")</f>
        <v>nodata</v>
      </c>
      <c r="K139" t="str">
        <f>IFERROR(VLOOKUP($A139,[1]data!$A$2:$G$50,7,FALSE),"nodata")</f>
        <v>nodata</v>
      </c>
      <c r="L139">
        <f>VLOOKUP(A139,[2]Sheet1!$A$2:$G$265,7,FALSE)</f>
        <v>19586539</v>
      </c>
      <c r="M139" t="str">
        <f t="shared" si="2"/>
        <v>nodata</v>
      </c>
    </row>
    <row r="140" spans="1:13" x14ac:dyDescent="0.2">
      <c r="A140" t="s">
        <v>145</v>
      </c>
      <c r="B140">
        <v>40</v>
      </c>
      <c r="C140">
        <v>44</v>
      </c>
      <c r="D140">
        <v>100</v>
      </c>
      <c r="E140" t="s">
        <v>6</v>
      </c>
      <c r="F140" t="str">
        <f>IFERROR(VLOOKUP($A140,[1]data!$A$2:$G$50,2,FALSE),"nodata")</f>
        <v>nodata</v>
      </c>
      <c r="G140" t="str">
        <f>IFERROR(VLOOKUP($A140,[1]data!$A$2:$G$50,3,FALSE),"nodata")</f>
        <v>nodata</v>
      </c>
      <c r="H140" t="str">
        <f>IFERROR(VLOOKUP($A140,[1]data!$A$2:$G$50,4,FALSE),"nodata")</f>
        <v>nodata</v>
      </c>
      <c r="I140" t="str">
        <f>IFERROR(VLOOKUP($A140,[1]data!$A$2:$G$50,5,FALSE),"nodata")</f>
        <v>nodata</v>
      </c>
      <c r="J140" t="str">
        <f>IFERROR(VLOOKUP($A140,[1]data!$A$2:$G$50,6,FALSE),"nodata")</f>
        <v>nodata</v>
      </c>
      <c r="K140" t="str">
        <f>IFERROR(VLOOKUP($A140,[1]data!$A$2:$G$50,7,FALSE),"nodata")</f>
        <v>nodata</v>
      </c>
      <c r="L140">
        <f>VLOOKUP(A140,[2]Sheet1!$A$2:$G$265,7,FALSE)</f>
        <v>144495044</v>
      </c>
      <c r="M140" t="str">
        <f t="shared" si="2"/>
        <v>nodata</v>
      </c>
    </row>
    <row r="141" spans="1:13" x14ac:dyDescent="0.2">
      <c r="A141" t="s">
        <v>146</v>
      </c>
      <c r="B141">
        <v>56</v>
      </c>
      <c r="C141">
        <v>2723</v>
      </c>
      <c r="D141">
        <v>29</v>
      </c>
      <c r="E141" t="s">
        <v>10</v>
      </c>
      <c r="F141">
        <f>IFERROR(VLOOKUP($A141,[1]data!$A$2:$G$50,2,FALSE),"nodata")</f>
        <v>25206</v>
      </c>
      <c r="G141">
        <f>IFERROR(VLOOKUP($A141,[1]data!$A$2:$G$50,3,FALSE),"nodata")</f>
        <v>789</v>
      </c>
      <c r="H141">
        <f>IFERROR(VLOOKUP($A141,[1]data!$A$2:$G$50,4,FALSE),"nodata")</f>
        <v>892</v>
      </c>
      <c r="I141">
        <f>IFERROR(VLOOKUP($A141,[1]data!$A$2:$G$50,5,FALSE),"nodata")</f>
        <v>0</v>
      </c>
      <c r="J141">
        <f>IFERROR(VLOOKUP($A141,[1]data!$A$2:$G$50,6,FALSE),"nodata")</f>
        <v>1681</v>
      </c>
      <c r="K141">
        <f>IFERROR(VLOOKUP($A141,[1]data!$A$2:$G$50,7,FALSE),"nodata")</f>
        <v>6.6690470522891371E-2</v>
      </c>
      <c r="L141">
        <f>VLOOKUP(A141,[2]Sheet1!$A$2:$G$265,7,FALSE)</f>
        <v>12208407</v>
      </c>
      <c r="M141">
        <f t="shared" si="2"/>
        <v>1.3769200191310791E-4</v>
      </c>
    </row>
    <row r="142" spans="1:13" x14ac:dyDescent="0.2">
      <c r="A142" t="s">
        <v>147</v>
      </c>
      <c r="B142">
        <v>89</v>
      </c>
      <c r="C142">
        <v>642</v>
      </c>
      <c r="D142">
        <v>100</v>
      </c>
      <c r="E142" t="s">
        <v>6</v>
      </c>
      <c r="F142" t="str">
        <f>IFERROR(VLOOKUP($A142,[1]data!$A$2:$G$50,2,FALSE),"nodata")</f>
        <v>nodata</v>
      </c>
      <c r="G142" t="str">
        <f>IFERROR(VLOOKUP($A142,[1]data!$A$2:$G$50,3,FALSE),"nodata")</f>
        <v>nodata</v>
      </c>
      <c r="H142" t="str">
        <f>IFERROR(VLOOKUP($A142,[1]data!$A$2:$G$50,4,FALSE),"nodata")</f>
        <v>nodata</v>
      </c>
      <c r="I142" t="str">
        <f>IFERROR(VLOOKUP($A142,[1]data!$A$2:$G$50,5,FALSE),"nodata")</f>
        <v>nodata</v>
      </c>
      <c r="J142" t="str">
        <f>IFERROR(VLOOKUP($A142,[1]data!$A$2:$G$50,6,FALSE),"nodata")</f>
        <v>nodata</v>
      </c>
      <c r="K142" t="str">
        <f>IFERROR(VLOOKUP($A142,[1]data!$A$2:$G$50,7,FALSE),"nodata")</f>
        <v>nodata</v>
      </c>
      <c r="L142">
        <f>VLOOKUP(A142,[2]Sheet1!$A$2:$G$265,7,FALSE)</f>
        <v>196440</v>
      </c>
      <c r="M142" t="str">
        <f t="shared" si="2"/>
        <v>nodata</v>
      </c>
    </row>
    <row r="143" spans="1:13" x14ac:dyDescent="0.2">
      <c r="A143" t="s">
        <v>148</v>
      </c>
      <c r="B143">
        <v>79</v>
      </c>
      <c r="C143">
        <v>59</v>
      </c>
      <c r="D143">
        <v>100</v>
      </c>
      <c r="E143" t="s">
        <v>6</v>
      </c>
      <c r="F143" t="str">
        <f>IFERROR(VLOOKUP($A143,[1]data!$A$2:$G$50,2,FALSE),"nodata")</f>
        <v>nodata</v>
      </c>
      <c r="G143" t="str">
        <f>IFERROR(VLOOKUP($A143,[1]data!$A$2:$G$50,3,FALSE),"nodata")</f>
        <v>nodata</v>
      </c>
      <c r="H143" t="str">
        <f>IFERROR(VLOOKUP($A143,[1]data!$A$2:$G$50,4,FALSE),"nodata")</f>
        <v>nodata</v>
      </c>
      <c r="I143" t="str">
        <f>IFERROR(VLOOKUP($A143,[1]data!$A$2:$G$50,5,FALSE),"nodata")</f>
        <v>nodata</v>
      </c>
      <c r="J143" t="str">
        <f>IFERROR(VLOOKUP($A143,[1]data!$A$2:$G$50,6,FALSE),"nodata")</f>
        <v>nodata</v>
      </c>
      <c r="K143" t="str">
        <f>IFERROR(VLOOKUP($A143,[1]data!$A$2:$G$50,7,FALSE),"nodata")</f>
        <v>nodata</v>
      </c>
      <c r="L143">
        <f>VLOOKUP(A143,[2]Sheet1!$A$2:$G$265,7,FALSE)</f>
        <v>33400</v>
      </c>
      <c r="M143" t="str">
        <f t="shared" si="2"/>
        <v>nodata</v>
      </c>
    </row>
    <row r="144" spans="1:13" x14ac:dyDescent="0.2">
      <c r="A144" t="s">
        <v>149</v>
      </c>
      <c r="B144">
        <v>162</v>
      </c>
      <c r="C144">
        <v>420</v>
      </c>
      <c r="D144">
        <v>65</v>
      </c>
      <c r="E144" t="s">
        <v>10</v>
      </c>
      <c r="F144" t="str">
        <f>IFERROR(VLOOKUP($A144,[1]data!$A$2:$G$50,2,FALSE),"nodata")</f>
        <v>nodata</v>
      </c>
      <c r="G144" t="str">
        <f>IFERROR(VLOOKUP($A144,[1]data!$A$2:$G$50,3,FALSE),"nodata")</f>
        <v>nodata</v>
      </c>
      <c r="H144" t="str">
        <f>IFERROR(VLOOKUP($A144,[1]data!$A$2:$G$50,4,FALSE),"nodata")</f>
        <v>nodata</v>
      </c>
      <c r="I144" t="str">
        <f>IFERROR(VLOOKUP($A144,[1]data!$A$2:$G$50,5,FALSE),"nodata")</f>
        <v>nodata</v>
      </c>
      <c r="J144" t="str">
        <f>IFERROR(VLOOKUP($A144,[1]data!$A$2:$G$50,6,FALSE),"nodata")</f>
        <v>nodata</v>
      </c>
      <c r="K144" t="str">
        <f>IFERROR(VLOOKUP($A144,[1]data!$A$2:$G$50,7,FALSE),"nodata")</f>
        <v>nodata</v>
      </c>
      <c r="L144">
        <f>VLOOKUP(A144,[2]Sheet1!$A$2:$G$265,7,FALSE)</f>
        <v>204327</v>
      </c>
      <c r="M144" t="str">
        <f t="shared" si="2"/>
        <v>nodata</v>
      </c>
    </row>
    <row r="145" spans="1:13" x14ac:dyDescent="0.2">
      <c r="A145" t="s">
        <v>150</v>
      </c>
      <c r="B145">
        <v>94</v>
      </c>
      <c r="C145">
        <v>31</v>
      </c>
      <c r="D145">
        <v>100</v>
      </c>
      <c r="E145" t="s">
        <v>6</v>
      </c>
      <c r="F145" t="str">
        <f>IFERROR(VLOOKUP($A145,[1]data!$A$2:$G$50,2,FALSE),"nodata")</f>
        <v>nodata</v>
      </c>
      <c r="G145" t="str">
        <f>IFERROR(VLOOKUP($A145,[1]data!$A$2:$G$50,3,FALSE),"nodata")</f>
        <v>nodata</v>
      </c>
      <c r="H145" t="str">
        <f>IFERROR(VLOOKUP($A145,[1]data!$A$2:$G$50,4,FALSE),"nodata")</f>
        <v>nodata</v>
      </c>
      <c r="I145" t="str">
        <f>IFERROR(VLOOKUP($A145,[1]data!$A$2:$G$50,5,FALSE),"nodata")</f>
        <v>nodata</v>
      </c>
      <c r="J145" t="str">
        <f>IFERROR(VLOOKUP($A145,[1]data!$A$2:$G$50,6,FALSE),"nodata")</f>
        <v>nodata</v>
      </c>
      <c r="K145" t="str">
        <f>IFERROR(VLOOKUP($A145,[1]data!$A$2:$G$50,7,FALSE),"nodata")</f>
        <v>nodata</v>
      </c>
      <c r="L145">
        <f>VLOOKUP(A145,[2]Sheet1!$A$2:$G$265,7,FALSE)</f>
        <v>32938213</v>
      </c>
      <c r="M145" t="str">
        <f t="shared" si="2"/>
        <v>nodata</v>
      </c>
    </row>
    <row r="146" spans="1:13" x14ac:dyDescent="0.2">
      <c r="A146" t="s">
        <v>151</v>
      </c>
      <c r="B146">
        <v>147</v>
      </c>
      <c r="C146">
        <v>3822</v>
      </c>
      <c r="D146">
        <v>65</v>
      </c>
      <c r="E146" t="s">
        <v>10</v>
      </c>
      <c r="F146">
        <f>IFERROR(VLOOKUP($A146,[1]data!$A$2:$G$50,2,FALSE),"nodata")</f>
        <v>196761</v>
      </c>
      <c r="G146">
        <f>IFERROR(VLOOKUP($A146,[1]data!$A$2:$G$50,3,FALSE),"nodata")</f>
        <v>1537</v>
      </c>
      <c r="H146">
        <f>IFERROR(VLOOKUP($A146,[1]data!$A$2:$G$50,4,FALSE),"nodata")</f>
        <v>7519</v>
      </c>
      <c r="I146">
        <f>IFERROR(VLOOKUP($A146,[1]data!$A$2:$G$50,5,FALSE),"nodata")</f>
        <v>5454</v>
      </c>
      <c r="J146">
        <f>IFERROR(VLOOKUP($A146,[1]data!$A$2:$G$50,6,FALSE),"nodata")</f>
        <v>14510</v>
      </c>
      <c r="K146">
        <f>IFERROR(VLOOKUP($A146,[1]data!$A$2:$G$50,7,FALSE),"nodata")</f>
        <v>7.3744288756410065E-2</v>
      </c>
      <c r="L146">
        <f>VLOOKUP(A146,[2]Sheet1!$A$2:$G$265,7,FALSE)</f>
        <v>15850567</v>
      </c>
      <c r="M146">
        <f t="shared" si="2"/>
        <v>9.1542466588103756E-4</v>
      </c>
    </row>
    <row r="147" spans="1:13" x14ac:dyDescent="0.2">
      <c r="A147" t="s">
        <v>152</v>
      </c>
      <c r="B147">
        <v>47</v>
      </c>
      <c r="C147">
        <v>236</v>
      </c>
      <c r="D147">
        <v>100</v>
      </c>
      <c r="E147" t="s">
        <v>6</v>
      </c>
      <c r="F147" t="str">
        <f>IFERROR(VLOOKUP($A147,[1]data!$A$2:$G$50,2,FALSE),"nodata")</f>
        <v>nodata</v>
      </c>
      <c r="G147" t="str">
        <f>IFERROR(VLOOKUP($A147,[1]data!$A$2:$G$50,3,FALSE),"nodata")</f>
        <v>nodata</v>
      </c>
      <c r="H147" t="str">
        <f>IFERROR(VLOOKUP($A147,[1]data!$A$2:$G$50,4,FALSE),"nodata")</f>
        <v>nodata</v>
      </c>
      <c r="I147" t="str">
        <f>IFERROR(VLOOKUP($A147,[1]data!$A$2:$G$50,5,FALSE),"nodata")</f>
        <v>nodata</v>
      </c>
      <c r="J147" t="str">
        <f>IFERROR(VLOOKUP($A147,[1]data!$A$2:$G$50,6,FALSE),"nodata")</f>
        <v>nodata</v>
      </c>
      <c r="K147" t="str">
        <f>IFERROR(VLOOKUP($A147,[1]data!$A$2:$G$50,7,FALSE),"nodata")</f>
        <v>nodata</v>
      </c>
      <c r="L147">
        <f>VLOOKUP(A147,[2]Sheet1!$A$2:$G$265,7,FALSE)</f>
        <v>7022268</v>
      </c>
      <c r="M147" t="str">
        <f t="shared" si="2"/>
        <v>nodata</v>
      </c>
    </row>
    <row r="148" spans="1:13" x14ac:dyDescent="0.2">
      <c r="A148" t="s">
        <v>153</v>
      </c>
      <c r="B148">
        <v>93</v>
      </c>
      <c r="C148">
        <v>365</v>
      </c>
      <c r="D148">
        <v>100</v>
      </c>
      <c r="E148" t="s">
        <v>10</v>
      </c>
      <c r="F148" t="str">
        <f>IFERROR(VLOOKUP($A148,[1]data!$A$2:$G$50,2,FALSE),"nodata")</f>
        <v>nodata</v>
      </c>
      <c r="G148" t="str">
        <f>IFERROR(VLOOKUP($A148,[1]data!$A$2:$G$50,3,FALSE),"nodata")</f>
        <v>nodata</v>
      </c>
      <c r="H148" t="str">
        <f>IFERROR(VLOOKUP($A148,[1]data!$A$2:$G$50,4,FALSE),"nodata")</f>
        <v>nodata</v>
      </c>
      <c r="I148" t="str">
        <f>IFERROR(VLOOKUP($A148,[1]data!$A$2:$G$50,5,FALSE),"nodata")</f>
        <v>nodata</v>
      </c>
      <c r="J148" t="str">
        <f>IFERROR(VLOOKUP($A148,[1]data!$A$2:$G$50,6,FALSE),"nodata")</f>
        <v>nodata</v>
      </c>
      <c r="K148" t="str">
        <f>IFERROR(VLOOKUP($A148,[1]data!$A$2:$G$50,7,FALSE),"nodata")</f>
        <v>nodata</v>
      </c>
      <c r="L148">
        <f>VLOOKUP(A148,[2]Sheet1!$A$2:$G$265,7,FALSE)</f>
        <v>95843</v>
      </c>
      <c r="M148" t="str">
        <f t="shared" si="2"/>
        <v>nodata</v>
      </c>
    </row>
    <row r="149" spans="1:13" x14ac:dyDescent="0.2">
      <c r="A149" t="s">
        <v>154</v>
      </c>
      <c r="B149">
        <v>148</v>
      </c>
      <c r="C149">
        <v>4224</v>
      </c>
      <c r="D149">
        <v>20</v>
      </c>
      <c r="E149" t="s">
        <v>10</v>
      </c>
      <c r="F149">
        <f>IFERROR(VLOOKUP($A149,[1]data!$A$2:$G$50,2,FALSE),"nodata")</f>
        <v>72322</v>
      </c>
      <c r="G149">
        <f>IFERROR(VLOOKUP($A149,[1]data!$A$2:$G$50,3,FALSE),"nodata")</f>
        <v>197</v>
      </c>
      <c r="H149">
        <f>IFERROR(VLOOKUP($A149,[1]data!$A$2:$G$50,4,FALSE),"nodata")</f>
        <v>1499</v>
      </c>
      <c r="I149">
        <f>IFERROR(VLOOKUP($A149,[1]data!$A$2:$G$50,5,FALSE),"nodata")</f>
        <v>0</v>
      </c>
      <c r="J149">
        <f>IFERROR(VLOOKUP($A149,[1]data!$A$2:$G$50,6,FALSE),"nodata")</f>
        <v>1696</v>
      </c>
      <c r="K149">
        <f>IFERROR(VLOOKUP($A149,[1]data!$A$2:$G$50,7,FALSE),"nodata")</f>
        <v>2.3450678908216033E-2</v>
      </c>
      <c r="L149">
        <f>VLOOKUP(A149,[2]Sheet1!$A$2:$G$265,7,FALSE)</f>
        <v>7557212</v>
      </c>
      <c r="M149">
        <f t="shared" si="2"/>
        <v>2.2442138714647678E-4</v>
      </c>
    </row>
    <row r="150" spans="1:13" x14ac:dyDescent="0.2">
      <c r="A150" t="s">
        <v>155</v>
      </c>
      <c r="B150">
        <v>2</v>
      </c>
      <c r="C150">
        <v>26</v>
      </c>
      <c r="D150">
        <v>100</v>
      </c>
      <c r="E150" t="s">
        <v>51</v>
      </c>
      <c r="F150" t="str">
        <f>IFERROR(VLOOKUP($A150,[1]data!$A$2:$G$50,2,FALSE),"nodata")</f>
        <v>nodata</v>
      </c>
      <c r="G150" t="str">
        <f>IFERROR(VLOOKUP($A150,[1]data!$A$2:$G$50,3,FALSE),"nodata")</f>
        <v>nodata</v>
      </c>
      <c r="H150" t="str">
        <f>IFERROR(VLOOKUP($A150,[1]data!$A$2:$G$50,4,FALSE),"nodata")</f>
        <v>nodata</v>
      </c>
      <c r="I150" t="str">
        <f>IFERROR(VLOOKUP($A150,[1]data!$A$2:$G$50,5,FALSE),"nodata")</f>
        <v>nodata</v>
      </c>
      <c r="J150" t="str">
        <f>IFERROR(VLOOKUP($A150,[1]data!$A$2:$G$50,6,FALSE),"nodata")</f>
        <v>nodata</v>
      </c>
      <c r="K150" t="str">
        <f>IFERROR(VLOOKUP($A150,[1]data!$A$2:$G$50,7,FALSE),"nodata")</f>
        <v>nodata</v>
      </c>
      <c r="L150">
        <f>VLOOKUP(A150,[2]Sheet1!$A$2:$G$265,7,FALSE)</f>
        <v>5612253</v>
      </c>
      <c r="M150" t="str">
        <f t="shared" si="2"/>
        <v>nodata</v>
      </c>
    </row>
    <row r="151" spans="1:13" x14ac:dyDescent="0.2">
      <c r="A151" t="s">
        <v>156</v>
      </c>
      <c r="B151">
        <v>33</v>
      </c>
      <c r="C151">
        <v>53</v>
      </c>
      <c r="D151">
        <v>100</v>
      </c>
      <c r="E151" t="s">
        <v>6</v>
      </c>
      <c r="F151" t="str">
        <f>IFERROR(VLOOKUP($A151,[1]data!$A$2:$G$50,2,FALSE),"nodata")</f>
        <v>nodata</v>
      </c>
      <c r="G151" t="str">
        <f>IFERROR(VLOOKUP($A151,[1]data!$A$2:$G$50,3,FALSE),"nodata")</f>
        <v>nodata</v>
      </c>
      <c r="H151" t="str">
        <f>IFERROR(VLOOKUP($A151,[1]data!$A$2:$G$50,4,FALSE),"nodata")</f>
        <v>nodata</v>
      </c>
      <c r="I151" t="str">
        <f>IFERROR(VLOOKUP($A151,[1]data!$A$2:$G$50,5,FALSE),"nodata")</f>
        <v>nodata</v>
      </c>
      <c r="J151" t="str">
        <f>IFERROR(VLOOKUP($A151,[1]data!$A$2:$G$50,6,FALSE),"nodata")</f>
        <v>nodata</v>
      </c>
      <c r="K151" t="str">
        <f>IFERROR(VLOOKUP($A151,[1]data!$A$2:$G$50,7,FALSE),"nodata")</f>
        <v>nodata</v>
      </c>
      <c r="L151">
        <f>VLOOKUP(A151,[2]Sheet1!$A$2:$G$265,7,FALSE)</f>
        <v>5439892</v>
      </c>
      <c r="M151" t="str">
        <f t="shared" si="2"/>
        <v>nodata</v>
      </c>
    </row>
    <row r="152" spans="1:13" x14ac:dyDescent="0.2">
      <c r="A152" t="s">
        <v>157</v>
      </c>
      <c r="B152">
        <v>30</v>
      </c>
      <c r="C152">
        <v>110</v>
      </c>
      <c r="D152">
        <v>100</v>
      </c>
      <c r="E152" t="s">
        <v>6</v>
      </c>
      <c r="F152" t="str">
        <f>IFERROR(VLOOKUP($A152,[1]data!$A$2:$G$50,2,FALSE),"nodata")</f>
        <v>nodata</v>
      </c>
      <c r="G152" t="str">
        <f>IFERROR(VLOOKUP($A152,[1]data!$A$2:$G$50,3,FALSE),"nodata")</f>
        <v>nodata</v>
      </c>
      <c r="H152" t="str">
        <f>IFERROR(VLOOKUP($A152,[1]data!$A$2:$G$50,4,FALSE),"nodata")</f>
        <v>nodata</v>
      </c>
      <c r="I152" t="str">
        <f>IFERROR(VLOOKUP($A152,[1]data!$A$2:$G$50,5,FALSE),"nodata")</f>
        <v>nodata</v>
      </c>
      <c r="J152" t="str">
        <f>IFERROR(VLOOKUP($A152,[1]data!$A$2:$G$50,6,FALSE),"nodata")</f>
        <v>nodata</v>
      </c>
      <c r="K152" t="str">
        <f>IFERROR(VLOOKUP($A152,[1]data!$A$2:$G$50,7,FALSE),"nodata")</f>
        <v>nodata</v>
      </c>
      <c r="L152">
        <f>VLOOKUP(A152,[2]Sheet1!$A$2:$G$265,7,FALSE)</f>
        <v>2066748</v>
      </c>
      <c r="M152" t="str">
        <f t="shared" si="2"/>
        <v>nodata</v>
      </c>
    </row>
    <row r="153" spans="1:13" x14ac:dyDescent="0.2">
      <c r="A153" t="s">
        <v>158</v>
      </c>
      <c r="B153">
        <v>104</v>
      </c>
      <c r="C153">
        <v>1254</v>
      </c>
      <c r="D153">
        <v>48</v>
      </c>
      <c r="E153" t="s">
        <v>6</v>
      </c>
      <c r="F153" t="str">
        <f>IFERROR(VLOOKUP($A153,[1]data!$A$2:$G$50,2,FALSE),"nodata")</f>
        <v>nodata</v>
      </c>
      <c r="G153" t="str">
        <f>IFERROR(VLOOKUP($A153,[1]data!$A$2:$G$50,3,FALSE),"nodata")</f>
        <v>nodata</v>
      </c>
      <c r="H153" t="str">
        <f>IFERROR(VLOOKUP($A153,[1]data!$A$2:$G$50,4,FALSE),"nodata")</f>
        <v>nodata</v>
      </c>
      <c r="I153" t="str">
        <f>IFERROR(VLOOKUP($A153,[1]data!$A$2:$G$50,5,FALSE),"nodata")</f>
        <v>nodata</v>
      </c>
      <c r="J153" t="str">
        <f>IFERROR(VLOOKUP($A153,[1]data!$A$2:$G$50,6,FALSE),"nodata")</f>
        <v>nodata</v>
      </c>
      <c r="K153" t="str">
        <f>IFERROR(VLOOKUP($A153,[1]data!$A$2:$G$50,7,FALSE),"nodata")</f>
        <v>nodata</v>
      </c>
      <c r="L153">
        <f>VLOOKUP(A153,[2]Sheet1!$A$2:$G$265,7,FALSE)</f>
        <v>611343</v>
      </c>
      <c r="M153" t="str">
        <f t="shared" si="2"/>
        <v>nodata</v>
      </c>
    </row>
    <row r="154" spans="1:13" x14ac:dyDescent="0.2">
      <c r="A154" t="s">
        <v>159</v>
      </c>
      <c r="B154">
        <v>190</v>
      </c>
      <c r="C154">
        <v>0</v>
      </c>
      <c r="D154">
        <v>30</v>
      </c>
      <c r="E154" t="s">
        <v>10</v>
      </c>
      <c r="F154">
        <f>IFERROR(VLOOKUP($A154,[1]data!$A$2:$G$50,2,FALSE),"nodata")</f>
        <v>633217</v>
      </c>
      <c r="G154">
        <f>IFERROR(VLOOKUP($A154,[1]data!$A$2:$G$50,3,FALSE),"nodata")</f>
        <v>13156</v>
      </c>
      <c r="H154">
        <f>IFERROR(VLOOKUP($A154,[1]data!$A$2:$G$50,4,FALSE),"nodata")</f>
        <v>25687</v>
      </c>
      <c r="I154">
        <f>IFERROR(VLOOKUP($A154,[1]data!$A$2:$G$50,5,FALSE),"nodata")</f>
        <v>43539</v>
      </c>
      <c r="J154">
        <f>IFERROR(VLOOKUP($A154,[1]data!$A$2:$G$50,6,FALSE),"nodata")</f>
        <v>82382</v>
      </c>
      <c r="K154">
        <f>IFERROR(VLOOKUP($A154,[1]data!$A$2:$G$50,7,FALSE),"nodata")</f>
        <v>0.13010073955689755</v>
      </c>
      <c r="L154">
        <f>VLOOKUP(A154,[2]Sheet1!$A$2:$G$265,7,FALSE)</f>
        <v>14742523</v>
      </c>
      <c r="M154">
        <f t="shared" si="2"/>
        <v>5.5880530082944415E-3</v>
      </c>
    </row>
    <row r="155" spans="1:13" x14ac:dyDescent="0.2">
      <c r="A155" t="s">
        <v>160</v>
      </c>
      <c r="B155">
        <v>74</v>
      </c>
      <c r="C155">
        <v>156</v>
      </c>
      <c r="D155">
        <v>84</v>
      </c>
      <c r="E155" t="s">
        <v>10</v>
      </c>
      <c r="F155">
        <f>IFERROR(VLOOKUP($A155,[1]data!$A$2:$G$50,2,FALSE),"nodata")</f>
        <v>1220394</v>
      </c>
      <c r="G155">
        <f>IFERROR(VLOOKUP($A155,[1]data!$A$2:$G$50,3,FALSE),"nodata")</f>
        <v>43275</v>
      </c>
      <c r="H155">
        <f>IFERROR(VLOOKUP($A155,[1]data!$A$2:$G$50,4,FALSE),"nodata")</f>
        <v>42243</v>
      </c>
      <c r="I155">
        <f>IFERROR(VLOOKUP($A155,[1]data!$A$2:$G$50,5,FALSE),"nodata")</f>
        <v>41195</v>
      </c>
      <c r="J155">
        <f>IFERROR(VLOOKUP($A155,[1]data!$A$2:$G$50,6,FALSE),"nodata")</f>
        <v>126713</v>
      </c>
      <c r="K155">
        <f>IFERROR(VLOOKUP($A155,[1]data!$A$2:$G$50,7,FALSE),"nodata")</f>
        <v>0.10382958290519291</v>
      </c>
      <c r="L155">
        <f>VLOOKUP(A155,[2]Sheet1!$A$2:$G$265,7,FALSE)</f>
        <v>56717156</v>
      </c>
      <c r="M155">
        <f t="shared" si="2"/>
        <v>2.2341211890102527E-3</v>
      </c>
    </row>
    <row r="156" spans="1:13" x14ac:dyDescent="0.2">
      <c r="A156" t="s">
        <v>161</v>
      </c>
      <c r="B156">
        <v>186</v>
      </c>
      <c r="C156">
        <v>0</v>
      </c>
      <c r="D156">
        <v>9</v>
      </c>
      <c r="E156" t="s">
        <v>10</v>
      </c>
      <c r="F156" t="str">
        <f>IFERROR(VLOOKUP($A156,[1]data!$A$2:$G$50,2,FALSE),"nodata")</f>
        <v>nodata</v>
      </c>
      <c r="G156" t="str">
        <f>IFERROR(VLOOKUP($A156,[1]data!$A$2:$G$50,3,FALSE),"nodata")</f>
        <v>nodata</v>
      </c>
      <c r="H156" t="str">
        <f>IFERROR(VLOOKUP($A156,[1]data!$A$2:$G$50,4,FALSE),"nodata")</f>
        <v>nodata</v>
      </c>
      <c r="I156" t="str">
        <f>IFERROR(VLOOKUP($A156,[1]data!$A$2:$G$50,5,FALSE),"nodata")</f>
        <v>nodata</v>
      </c>
      <c r="J156" t="str">
        <f>IFERROR(VLOOKUP($A156,[1]data!$A$2:$G$50,6,FALSE),"nodata")</f>
        <v>nodata</v>
      </c>
      <c r="K156" t="str">
        <f>IFERROR(VLOOKUP($A156,[1]data!$A$2:$G$50,7,FALSE),"nodata")</f>
        <v>nodata</v>
      </c>
      <c r="L156">
        <f>VLOOKUP(A156,[2]Sheet1!$A$2:$G$265,7,FALSE)</f>
        <v>12575714</v>
      </c>
      <c r="M156" t="str">
        <f t="shared" si="2"/>
        <v>nodata</v>
      </c>
    </row>
    <row r="157" spans="1:13" x14ac:dyDescent="0.2">
      <c r="A157" t="s">
        <v>162</v>
      </c>
      <c r="B157">
        <v>32</v>
      </c>
      <c r="C157">
        <v>103</v>
      </c>
      <c r="D157">
        <v>100</v>
      </c>
      <c r="E157" t="s">
        <v>6</v>
      </c>
      <c r="F157" t="str">
        <f>IFERROR(VLOOKUP($A157,[1]data!$A$2:$G$50,2,FALSE),"nodata")</f>
        <v>nodata</v>
      </c>
      <c r="G157" t="str">
        <f>IFERROR(VLOOKUP($A157,[1]data!$A$2:$G$50,3,FALSE),"nodata")</f>
        <v>nodata</v>
      </c>
      <c r="H157" t="str">
        <f>IFERROR(VLOOKUP($A157,[1]data!$A$2:$G$50,4,FALSE),"nodata")</f>
        <v>nodata</v>
      </c>
      <c r="I157" t="str">
        <f>IFERROR(VLOOKUP($A157,[1]data!$A$2:$G$50,5,FALSE),"nodata")</f>
        <v>nodata</v>
      </c>
      <c r="J157" t="str">
        <f>IFERROR(VLOOKUP($A157,[1]data!$A$2:$G$50,6,FALSE),"nodata")</f>
        <v>nodata</v>
      </c>
      <c r="K157" t="str">
        <f>IFERROR(VLOOKUP($A157,[1]data!$A$2:$G$50,7,FALSE),"nodata")</f>
        <v>nodata</v>
      </c>
      <c r="L157">
        <f>VLOOKUP(A157,[2]Sheet1!$A$2:$G$265,7,FALSE)</f>
        <v>46572028</v>
      </c>
      <c r="M157" t="str">
        <f t="shared" si="2"/>
        <v>nodata</v>
      </c>
    </row>
    <row r="158" spans="1:13" x14ac:dyDescent="0.2">
      <c r="A158" t="s">
        <v>163</v>
      </c>
      <c r="B158">
        <v>110</v>
      </c>
      <c r="C158">
        <v>769</v>
      </c>
      <c r="D158">
        <v>96</v>
      </c>
      <c r="E158" t="s">
        <v>6</v>
      </c>
      <c r="F158" t="str">
        <f>IFERROR(VLOOKUP($A158,[1]data!$A$2:$G$50,2,FALSE),"nodata")</f>
        <v>nodata</v>
      </c>
      <c r="G158" t="str">
        <f>IFERROR(VLOOKUP($A158,[1]data!$A$2:$G$50,3,FALSE),"nodata")</f>
        <v>nodata</v>
      </c>
      <c r="H158" t="str">
        <f>IFERROR(VLOOKUP($A158,[1]data!$A$2:$G$50,4,FALSE),"nodata")</f>
        <v>nodata</v>
      </c>
      <c r="I158" t="str">
        <f>IFERROR(VLOOKUP($A158,[1]data!$A$2:$G$50,5,FALSE),"nodata")</f>
        <v>nodata</v>
      </c>
      <c r="J158" t="str">
        <f>IFERROR(VLOOKUP($A158,[1]data!$A$2:$G$50,6,FALSE),"nodata")</f>
        <v>nodata</v>
      </c>
      <c r="K158" t="str">
        <f>IFERROR(VLOOKUP($A158,[1]data!$A$2:$G$50,7,FALSE),"nodata")</f>
        <v>nodata</v>
      </c>
      <c r="L158">
        <f>VLOOKUP(A158,[2]Sheet1!$A$2:$G$265,7,FALSE)</f>
        <v>21444000</v>
      </c>
      <c r="M158" t="str">
        <f t="shared" si="2"/>
        <v>nodata</v>
      </c>
    </row>
    <row r="159" spans="1:13" x14ac:dyDescent="0.2">
      <c r="A159" t="s">
        <v>164</v>
      </c>
      <c r="B159">
        <v>134</v>
      </c>
      <c r="C159">
        <v>241</v>
      </c>
      <c r="D159">
        <v>100</v>
      </c>
      <c r="E159" t="s">
        <v>6</v>
      </c>
      <c r="F159" t="str">
        <f>IFERROR(VLOOKUP($A159,[1]data!$A$2:$G$50,2,FALSE),"nodata")</f>
        <v>nodata</v>
      </c>
      <c r="G159" t="str">
        <f>IFERROR(VLOOKUP($A159,[1]data!$A$2:$G$50,3,FALSE),"nodata")</f>
        <v>nodata</v>
      </c>
      <c r="H159" t="str">
        <f>IFERROR(VLOOKUP($A159,[1]data!$A$2:$G$50,4,FALSE),"nodata")</f>
        <v>nodata</v>
      </c>
      <c r="I159" t="str">
        <f>IFERROR(VLOOKUP($A159,[1]data!$A$2:$G$50,5,FALSE),"nodata")</f>
        <v>nodata</v>
      </c>
      <c r="J159" t="str">
        <f>IFERROR(VLOOKUP($A159,[1]data!$A$2:$G$50,6,FALSE),"nodata")</f>
        <v>nodata</v>
      </c>
      <c r="K159" t="str">
        <f>IFERROR(VLOOKUP($A159,[1]data!$A$2:$G$50,7,FALSE),"nodata")</f>
        <v>nodata</v>
      </c>
      <c r="L159">
        <f>VLOOKUP(A159,[2]Sheet1!$A$2:$G$265,7,FALSE)</f>
        <v>55345</v>
      </c>
      <c r="M159" t="str">
        <f t="shared" si="2"/>
        <v>nodata</v>
      </c>
    </row>
    <row r="160" spans="1:13" x14ac:dyDescent="0.2">
      <c r="A160" t="s">
        <v>165</v>
      </c>
      <c r="B160">
        <v>86</v>
      </c>
      <c r="C160">
        <v>193</v>
      </c>
      <c r="D160">
        <v>98</v>
      </c>
      <c r="E160" t="s">
        <v>6</v>
      </c>
      <c r="F160" t="str">
        <f>IFERROR(VLOOKUP($A160,[1]data!$A$2:$G$50,2,FALSE),"nodata")</f>
        <v>nodata</v>
      </c>
      <c r="G160" t="str">
        <f>IFERROR(VLOOKUP($A160,[1]data!$A$2:$G$50,3,FALSE),"nodata")</f>
        <v>nodata</v>
      </c>
      <c r="H160" t="str">
        <f>IFERROR(VLOOKUP($A160,[1]data!$A$2:$G$50,4,FALSE),"nodata")</f>
        <v>nodata</v>
      </c>
      <c r="I160" t="str">
        <f>IFERROR(VLOOKUP($A160,[1]data!$A$2:$G$50,5,FALSE),"nodata")</f>
        <v>nodata</v>
      </c>
      <c r="J160" t="str">
        <f>IFERROR(VLOOKUP($A160,[1]data!$A$2:$G$50,6,FALSE),"nodata")</f>
        <v>nodata</v>
      </c>
      <c r="K160" t="str">
        <f>IFERROR(VLOOKUP($A160,[1]data!$A$2:$G$50,7,FALSE),"nodata")</f>
        <v>nodata</v>
      </c>
      <c r="L160">
        <f>VLOOKUP(A160,[2]Sheet1!$A$2:$G$265,7,FALSE)</f>
        <v>178844</v>
      </c>
      <c r="M160" t="str">
        <f t="shared" si="2"/>
        <v>nodata</v>
      </c>
    </row>
    <row r="161" spans="1:13" x14ac:dyDescent="0.2">
      <c r="A161" t="s">
        <v>166</v>
      </c>
      <c r="B161">
        <v>125</v>
      </c>
      <c r="C161">
        <v>57</v>
      </c>
      <c r="D161">
        <v>100</v>
      </c>
      <c r="E161" t="s">
        <v>6</v>
      </c>
      <c r="F161" t="str">
        <f>IFERROR(VLOOKUP($A161,[1]data!$A$2:$G$50,2,FALSE),"nodata")</f>
        <v>nodata</v>
      </c>
      <c r="G161" t="str">
        <f>IFERROR(VLOOKUP($A161,[1]data!$A$2:$G$50,3,FALSE),"nodata")</f>
        <v>nodata</v>
      </c>
      <c r="H161" t="str">
        <f>IFERROR(VLOOKUP($A161,[1]data!$A$2:$G$50,4,FALSE),"nodata")</f>
        <v>nodata</v>
      </c>
      <c r="I161" t="str">
        <f>IFERROR(VLOOKUP($A161,[1]data!$A$2:$G$50,5,FALSE),"nodata")</f>
        <v>nodata</v>
      </c>
      <c r="J161" t="str">
        <f>IFERROR(VLOOKUP($A161,[1]data!$A$2:$G$50,6,FALSE),"nodata")</f>
        <v>nodata</v>
      </c>
      <c r="K161" t="str">
        <f>IFERROR(VLOOKUP($A161,[1]data!$A$2:$G$50,7,FALSE),"nodata")</f>
        <v>nodata</v>
      </c>
      <c r="L161">
        <f>VLOOKUP(A161,[2]Sheet1!$A$2:$G$265,7,FALSE)</f>
        <v>109897</v>
      </c>
      <c r="M161" t="str">
        <f t="shared" si="2"/>
        <v>nodata</v>
      </c>
    </row>
    <row r="162" spans="1:13" x14ac:dyDescent="0.2">
      <c r="A162" t="s">
        <v>167</v>
      </c>
      <c r="B162">
        <v>168</v>
      </c>
      <c r="C162">
        <v>2687</v>
      </c>
      <c r="D162">
        <v>39</v>
      </c>
      <c r="E162" t="s">
        <v>10</v>
      </c>
      <c r="F162">
        <f>IFERROR(VLOOKUP($A162,[1]data!$A$2:$G$50,2,FALSE),"nodata")</f>
        <v>2503827</v>
      </c>
      <c r="G162">
        <f>IFERROR(VLOOKUP($A162,[1]data!$A$2:$G$50,3,FALSE),"nodata")</f>
        <v>77422</v>
      </c>
      <c r="H162">
        <f>IFERROR(VLOOKUP($A162,[1]data!$A$2:$G$50,4,FALSE),"nodata")</f>
        <v>87817</v>
      </c>
      <c r="I162">
        <f>IFERROR(VLOOKUP($A162,[1]data!$A$2:$G$50,5,FALSE),"nodata")</f>
        <v>61661</v>
      </c>
      <c r="J162">
        <f>IFERROR(VLOOKUP($A162,[1]data!$A$2:$G$50,6,FALSE),"nodata")</f>
        <v>226900</v>
      </c>
      <c r="K162">
        <f>IFERROR(VLOOKUP($A162,[1]data!$A$2:$G$50,7,FALSE),"nodata")</f>
        <v>9.0621276949246099E-2</v>
      </c>
      <c r="L162">
        <f>VLOOKUP(A162,[2]Sheet1!$A$2:$G$265,7,FALSE)</f>
        <v>40533330</v>
      </c>
      <c r="M162">
        <f t="shared" si="2"/>
        <v>5.5978623024557812E-3</v>
      </c>
    </row>
    <row r="163" spans="1:13" x14ac:dyDescent="0.2">
      <c r="A163" t="s">
        <v>168</v>
      </c>
      <c r="B163">
        <v>158</v>
      </c>
      <c r="C163">
        <v>484</v>
      </c>
      <c r="D163">
        <v>87</v>
      </c>
      <c r="E163" t="s">
        <v>6</v>
      </c>
      <c r="F163" t="str">
        <f>IFERROR(VLOOKUP($A163,[1]data!$A$2:$G$50,2,FALSE),"nodata")</f>
        <v>nodata</v>
      </c>
      <c r="G163" t="str">
        <f>IFERROR(VLOOKUP($A163,[1]data!$A$2:$G$50,3,FALSE),"nodata")</f>
        <v>nodata</v>
      </c>
      <c r="H163" t="str">
        <f>IFERROR(VLOOKUP($A163,[1]data!$A$2:$G$50,4,FALSE),"nodata")</f>
        <v>nodata</v>
      </c>
      <c r="I163" t="str">
        <f>IFERROR(VLOOKUP($A163,[1]data!$A$2:$G$50,5,FALSE),"nodata")</f>
        <v>nodata</v>
      </c>
      <c r="J163" t="str">
        <f>IFERROR(VLOOKUP($A163,[1]data!$A$2:$G$50,6,FALSE),"nodata")</f>
        <v>nodata</v>
      </c>
      <c r="K163" t="str">
        <f>IFERROR(VLOOKUP($A163,[1]data!$A$2:$G$50,7,FALSE),"nodata")</f>
        <v>nodata</v>
      </c>
      <c r="L163">
        <f>VLOOKUP(A163,[2]Sheet1!$A$2:$G$265,7,FALSE)</f>
        <v>563402</v>
      </c>
      <c r="M163" t="str">
        <f t="shared" si="2"/>
        <v>nodata</v>
      </c>
    </row>
    <row r="164" spans="1:13" x14ac:dyDescent="0.2">
      <c r="A164" t="s">
        <v>203</v>
      </c>
      <c r="B164">
        <v>111</v>
      </c>
      <c r="C164">
        <v>740</v>
      </c>
      <c r="D164">
        <v>66</v>
      </c>
      <c r="E164" t="s">
        <v>10</v>
      </c>
      <c r="F164">
        <f>IFERROR(VLOOKUP($A164,[1]data!$A$2:$G$50,2,FALSE),"nodata")</f>
        <v>17289</v>
      </c>
      <c r="G164">
        <f>IFERROR(VLOOKUP($A164,[1]data!$A$2:$G$50,3,FALSE),"nodata")</f>
        <v>559</v>
      </c>
      <c r="H164">
        <f>IFERROR(VLOOKUP($A164,[1]data!$A$2:$G$50,4,FALSE),"nodata")</f>
        <v>572</v>
      </c>
      <c r="I164">
        <f>IFERROR(VLOOKUP($A164,[1]data!$A$2:$G$50,5,FALSE),"nodata")</f>
        <v>476</v>
      </c>
      <c r="J164">
        <f>IFERROR(VLOOKUP($A164,[1]data!$A$2:$G$50,6,FALSE),"nodata")</f>
        <v>1607</v>
      </c>
      <c r="K164">
        <f>IFERROR(VLOOKUP($A164,[1]data!$A$2:$G$50,7,FALSE),"nodata")</f>
        <v>9.2949274104922208E-2</v>
      </c>
      <c r="L164">
        <f>VLOOKUP(A164,[2]Sheet1!$A$2:$G$265,7,FALSE)</f>
        <v>1367254</v>
      </c>
      <c r="M164">
        <f t="shared" si="2"/>
        <v>1.1753485453324694E-3</v>
      </c>
    </row>
    <row r="165" spans="1:13" x14ac:dyDescent="0.2">
      <c r="A165" t="s">
        <v>169</v>
      </c>
      <c r="B165">
        <v>9</v>
      </c>
      <c r="C165">
        <v>32</v>
      </c>
      <c r="D165">
        <v>100</v>
      </c>
      <c r="E165" t="s">
        <v>51</v>
      </c>
      <c r="F165" t="str">
        <f>IFERROR(VLOOKUP($A165,[1]data!$A$2:$G$50,2,FALSE),"nodata")</f>
        <v>nodata</v>
      </c>
      <c r="G165" t="str">
        <f>IFERROR(VLOOKUP($A165,[1]data!$A$2:$G$50,3,FALSE),"nodata")</f>
        <v>nodata</v>
      </c>
      <c r="H165" t="str">
        <f>IFERROR(VLOOKUP($A165,[1]data!$A$2:$G$50,4,FALSE),"nodata")</f>
        <v>nodata</v>
      </c>
      <c r="I165" t="str">
        <f>IFERROR(VLOOKUP($A165,[1]data!$A$2:$G$50,5,FALSE),"nodata")</f>
        <v>nodata</v>
      </c>
      <c r="J165" t="str">
        <f>IFERROR(VLOOKUP($A165,[1]data!$A$2:$G$50,6,FALSE),"nodata")</f>
        <v>nodata</v>
      </c>
      <c r="K165" t="str">
        <f>IFERROR(VLOOKUP($A165,[1]data!$A$2:$G$50,7,FALSE),"nodata")</f>
        <v>nodata</v>
      </c>
      <c r="L165">
        <f>VLOOKUP(A165,[2]Sheet1!$A$2:$G$265,7,FALSE)</f>
        <v>10067744</v>
      </c>
      <c r="M165" t="str">
        <f t="shared" si="2"/>
        <v>nodata</v>
      </c>
    </row>
    <row r="166" spans="1:13" x14ac:dyDescent="0.2">
      <c r="A166" t="s">
        <v>170</v>
      </c>
      <c r="B166">
        <v>31</v>
      </c>
      <c r="C166">
        <v>59</v>
      </c>
      <c r="D166">
        <v>100</v>
      </c>
      <c r="E166" t="s">
        <v>6</v>
      </c>
      <c r="F166" t="str">
        <f>IFERROR(VLOOKUP($A166,[1]data!$A$2:$G$50,2,FALSE),"nodata")</f>
        <v>nodata</v>
      </c>
      <c r="G166" t="str">
        <f>IFERROR(VLOOKUP($A166,[1]data!$A$2:$G$50,3,FALSE),"nodata")</f>
        <v>nodata</v>
      </c>
      <c r="H166" t="str">
        <f>IFERROR(VLOOKUP($A166,[1]data!$A$2:$G$50,4,FALSE),"nodata")</f>
        <v>nodata</v>
      </c>
      <c r="I166" t="str">
        <f>IFERROR(VLOOKUP($A166,[1]data!$A$2:$G$50,5,FALSE),"nodata")</f>
        <v>nodata</v>
      </c>
      <c r="J166" t="str">
        <f>IFERROR(VLOOKUP($A166,[1]data!$A$2:$G$50,6,FALSE),"nodata")</f>
        <v>nodata</v>
      </c>
      <c r="K166" t="str">
        <f>IFERROR(VLOOKUP($A166,[1]data!$A$2:$G$50,7,FALSE),"nodata")</f>
        <v>nodata</v>
      </c>
      <c r="L166">
        <f>VLOOKUP(A166,[2]Sheet1!$A$2:$G$265,7,FALSE)</f>
        <v>8466017</v>
      </c>
      <c r="M166" t="str">
        <f t="shared" si="2"/>
        <v>nodata</v>
      </c>
    </row>
    <row r="167" spans="1:13" x14ac:dyDescent="0.2">
      <c r="A167" t="s">
        <v>171</v>
      </c>
      <c r="B167">
        <v>173</v>
      </c>
      <c r="C167">
        <v>312</v>
      </c>
      <c r="D167">
        <v>100</v>
      </c>
      <c r="E167" t="s">
        <v>6</v>
      </c>
      <c r="F167" t="str">
        <f>IFERROR(VLOOKUP($A167,[1]data!$A$2:$G$50,2,FALSE),"nodata")</f>
        <v>nodata</v>
      </c>
      <c r="G167" t="str">
        <f>IFERROR(VLOOKUP($A167,[1]data!$A$2:$G$50,3,FALSE),"nodata")</f>
        <v>nodata</v>
      </c>
      <c r="H167" t="str">
        <f>IFERROR(VLOOKUP($A167,[1]data!$A$2:$G$50,4,FALSE),"nodata")</f>
        <v>nodata</v>
      </c>
      <c r="I167" t="str">
        <f>IFERROR(VLOOKUP($A167,[1]data!$A$2:$G$50,5,FALSE),"nodata")</f>
        <v>nodata</v>
      </c>
      <c r="J167" t="str">
        <f>IFERROR(VLOOKUP($A167,[1]data!$A$2:$G$50,6,FALSE),"nodata")</f>
        <v>nodata</v>
      </c>
      <c r="K167" t="str">
        <f>IFERROR(VLOOKUP($A167,[1]data!$A$2:$G$50,7,FALSE),"nodata")</f>
        <v>nodata</v>
      </c>
      <c r="L167">
        <f>VLOOKUP(A167,[2]Sheet1!$A$2:$G$265,7,FALSE)</f>
        <v>18269868</v>
      </c>
      <c r="M167" t="str">
        <f t="shared" si="2"/>
        <v>nodata</v>
      </c>
    </row>
    <row r="168" spans="1:13" x14ac:dyDescent="0.2">
      <c r="A168" t="s">
        <v>172</v>
      </c>
      <c r="B168">
        <v>128</v>
      </c>
      <c r="C168">
        <v>743</v>
      </c>
      <c r="D168">
        <v>100</v>
      </c>
      <c r="E168" t="s">
        <v>6</v>
      </c>
      <c r="F168" t="str">
        <f>IFERROR(VLOOKUP($A168,[1]data!$A$2:$G$50,2,FALSE),"nodata")</f>
        <v>nodata</v>
      </c>
      <c r="G168" t="str">
        <f>IFERROR(VLOOKUP($A168,[1]data!$A$2:$G$50,3,FALSE),"nodata")</f>
        <v>nodata</v>
      </c>
      <c r="H168" t="str">
        <f>IFERROR(VLOOKUP($A168,[1]data!$A$2:$G$50,4,FALSE),"nodata")</f>
        <v>nodata</v>
      </c>
      <c r="I168" t="str">
        <f>IFERROR(VLOOKUP($A168,[1]data!$A$2:$G$50,5,FALSE),"nodata")</f>
        <v>nodata</v>
      </c>
      <c r="J168" t="str">
        <f>IFERROR(VLOOKUP($A168,[1]data!$A$2:$G$50,6,FALSE),"nodata")</f>
        <v>nodata</v>
      </c>
      <c r="K168" t="str">
        <f>IFERROR(VLOOKUP($A168,[1]data!$A$2:$G$50,7,FALSE),"nodata")</f>
        <v>nodata</v>
      </c>
      <c r="L168">
        <f>VLOOKUP(A168,[2]Sheet1!$A$2:$G$265,7,FALSE)</f>
        <v>8921343</v>
      </c>
      <c r="M168" t="str">
        <f t="shared" si="2"/>
        <v>nodata</v>
      </c>
    </row>
    <row r="169" spans="1:13" x14ac:dyDescent="0.2">
      <c r="A169" t="s">
        <v>173</v>
      </c>
      <c r="B169">
        <v>132</v>
      </c>
      <c r="C169">
        <v>948</v>
      </c>
      <c r="D169">
        <v>33</v>
      </c>
      <c r="E169" t="s">
        <v>10</v>
      </c>
      <c r="F169">
        <f>IFERROR(VLOOKUP($A169,[1]data!$A$2:$G$50,2,FALSE),"nodata")</f>
        <v>941758</v>
      </c>
      <c r="G169">
        <f>IFERROR(VLOOKUP($A169,[1]data!$A$2:$G$50,3,FALSE),"nodata")</f>
        <v>31482</v>
      </c>
      <c r="H169">
        <f>IFERROR(VLOOKUP($A169,[1]data!$A$2:$G$50,4,FALSE),"nodata")</f>
        <v>38804</v>
      </c>
      <c r="I169">
        <f>IFERROR(VLOOKUP($A169,[1]data!$A$2:$G$50,5,FALSE),"nodata")</f>
        <v>18456</v>
      </c>
      <c r="J169">
        <f>IFERROR(VLOOKUP($A169,[1]data!$A$2:$G$50,6,FALSE),"nodata")</f>
        <v>88742</v>
      </c>
      <c r="K169">
        <f>IFERROR(VLOOKUP($A169,[1]data!$A$2:$G$50,7,FALSE),"nodata")</f>
        <v>9.423015254449657E-2</v>
      </c>
      <c r="L169">
        <f>VLOOKUP(A169,[2]Sheet1!$A$2:$G$265,7,FALSE)</f>
        <v>57310019</v>
      </c>
      <c r="M169">
        <f t="shared" si="2"/>
        <v>1.5484552535220762E-3</v>
      </c>
    </row>
    <row r="170" spans="1:13" x14ac:dyDescent="0.2">
      <c r="A170" t="s">
        <v>174</v>
      </c>
      <c r="B170">
        <v>46</v>
      </c>
      <c r="C170">
        <v>43</v>
      </c>
      <c r="D170">
        <v>100</v>
      </c>
      <c r="E170" t="s">
        <v>6</v>
      </c>
      <c r="F170" t="str">
        <f>IFERROR(VLOOKUP($A170,[1]data!$A$2:$G$50,2,FALSE),"nodata")</f>
        <v>nodata</v>
      </c>
      <c r="G170" t="str">
        <f>IFERROR(VLOOKUP($A170,[1]data!$A$2:$G$50,3,FALSE),"nodata")</f>
        <v>nodata</v>
      </c>
      <c r="H170" t="str">
        <f>IFERROR(VLOOKUP($A170,[1]data!$A$2:$G$50,4,FALSE),"nodata")</f>
        <v>nodata</v>
      </c>
      <c r="I170" t="str">
        <f>IFERROR(VLOOKUP($A170,[1]data!$A$2:$G$50,5,FALSE),"nodata")</f>
        <v>nodata</v>
      </c>
      <c r="J170" t="str">
        <f>IFERROR(VLOOKUP($A170,[1]data!$A$2:$G$50,6,FALSE),"nodata")</f>
        <v>nodata</v>
      </c>
      <c r="K170" t="str">
        <f>IFERROR(VLOOKUP($A170,[1]data!$A$2:$G$50,7,FALSE),"nodata")</f>
        <v>nodata</v>
      </c>
      <c r="L170">
        <f>VLOOKUP(A170,[2]Sheet1!$A$2:$G$265,7,FALSE)</f>
        <v>69037513</v>
      </c>
      <c r="M170" t="str">
        <f t="shared" si="2"/>
        <v>nodata</v>
      </c>
    </row>
    <row r="171" spans="1:13" x14ac:dyDescent="0.2">
      <c r="A171" t="s">
        <v>175</v>
      </c>
      <c r="B171">
        <v>175</v>
      </c>
      <c r="C171">
        <v>1218</v>
      </c>
      <c r="D171">
        <v>63</v>
      </c>
      <c r="E171" t="s">
        <v>6</v>
      </c>
      <c r="F171" t="str">
        <f>IFERROR(VLOOKUP($A171,[1]data!$A$2:$G$50,2,FALSE),"nodata")</f>
        <v>nodata</v>
      </c>
      <c r="G171" t="str">
        <f>IFERROR(VLOOKUP($A171,[1]data!$A$2:$G$50,3,FALSE),"nodata")</f>
        <v>nodata</v>
      </c>
      <c r="H171" t="str">
        <f>IFERROR(VLOOKUP($A171,[1]data!$A$2:$G$50,4,FALSE),"nodata")</f>
        <v>nodata</v>
      </c>
      <c r="I171" t="str">
        <f>IFERROR(VLOOKUP($A171,[1]data!$A$2:$G$50,5,FALSE),"nodata")</f>
        <v>nodata</v>
      </c>
      <c r="J171" t="str">
        <f>IFERROR(VLOOKUP($A171,[1]data!$A$2:$G$50,6,FALSE),"nodata")</f>
        <v>nodata</v>
      </c>
      <c r="K171" t="str">
        <f>IFERROR(VLOOKUP($A171,[1]data!$A$2:$G$50,7,FALSE),"nodata")</f>
        <v>nodata</v>
      </c>
      <c r="L171">
        <f>VLOOKUP(A171,[2]Sheet1!$A$2:$G$265,7,FALSE)</f>
        <v>1296311</v>
      </c>
      <c r="M171" t="str">
        <f t="shared" si="2"/>
        <v>nodata</v>
      </c>
    </row>
    <row r="172" spans="1:13" x14ac:dyDescent="0.2">
      <c r="A172" t="s">
        <v>176</v>
      </c>
      <c r="B172">
        <v>154</v>
      </c>
      <c r="C172">
        <v>5508</v>
      </c>
      <c r="D172">
        <v>47</v>
      </c>
      <c r="E172" t="s">
        <v>10</v>
      </c>
      <c r="F172">
        <f>IFERROR(VLOOKUP($A172,[1]data!$A$2:$G$50,2,FALSE),"nodata")</f>
        <v>57038</v>
      </c>
      <c r="G172">
        <f>IFERROR(VLOOKUP($A172,[1]data!$A$2:$G$50,3,FALSE),"nodata")</f>
        <v>0</v>
      </c>
      <c r="H172">
        <f>IFERROR(VLOOKUP($A172,[1]data!$A$2:$G$50,4,FALSE),"nodata")</f>
        <v>1257</v>
      </c>
      <c r="I172">
        <f>IFERROR(VLOOKUP($A172,[1]data!$A$2:$G$50,5,FALSE),"nodata")</f>
        <v>79</v>
      </c>
      <c r="J172">
        <f>IFERROR(VLOOKUP($A172,[1]data!$A$2:$G$50,6,FALSE),"nodata")</f>
        <v>1336</v>
      </c>
      <c r="K172">
        <f>IFERROR(VLOOKUP($A172,[1]data!$A$2:$G$50,7,FALSE),"nodata")</f>
        <v>2.3422981170447773E-2</v>
      </c>
      <c r="L172">
        <f>VLOOKUP(A172,[2]Sheet1!$A$2:$G$265,7,FALSE)</f>
        <v>7797694</v>
      </c>
      <c r="M172">
        <f t="shared" si="2"/>
        <v>1.7133270425846411E-4</v>
      </c>
    </row>
    <row r="173" spans="1:13" x14ac:dyDescent="0.2">
      <c r="A173" t="s">
        <v>177</v>
      </c>
      <c r="B173">
        <v>85</v>
      </c>
      <c r="C173">
        <v>86</v>
      </c>
      <c r="D173">
        <v>97</v>
      </c>
      <c r="E173" t="s">
        <v>6</v>
      </c>
      <c r="F173" t="str">
        <f>IFERROR(VLOOKUP($A173,[1]data!$A$2:$G$50,2,FALSE),"nodata")</f>
        <v>nodata</v>
      </c>
      <c r="G173" t="str">
        <f>IFERROR(VLOOKUP($A173,[1]data!$A$2:$G$50,3,FALSE),"nodata")</f>
        <v>nodata</v>
      </c>
      <c r="H173" t="str">
        <f>IFERROR(VLOOKUP($A173,[1]data!$A$2:$G$50,4,FALSE),"nodata")</f>
        <v>nodata</v>
      </c>
      <c r="I173" t="str">
        <f>IFERROR(VLOOKUP($A173,[1]data!$A$2:$G$50,5,FALSE),"nodata")</f>
        <v>nodata</v>
      </c>
      <c r="J173" t="str">
        <f>IFERROR(VLOOKUP($A173,[1]data!$A$2:$G$50,6,FALSE),"nodata")</f>
        <v>nodata</v>
      </c>
      <c r="K173" t="str">
        <f>IFERROR(VLOOKUP($A173,[1]data!$A$2:$G$50,7,FALSE),"nodata")</f>
        <v>nodata</v>
      </c>
      <c r="L173">
        <f>VLOOKUP(A173,[2]Sheet1!$A$2:$G$265,7,FALSE)</f>
        <v>108020</v>
      </c>
      <c r="M173" t="str">
        <f t="shared" si="2"/>
        <v>nodata</v>
      </c>
    </row>
    <row r="174" spans="1:13" x14ac:dyDescent="0.2">
      <c r="A174" t="s">
        <v>178</v>
      </c>
      <c r="B174">
        <v>96</v>
      </c>
      <c r="C174">
        <v>177</v>
      </c>
      <c r="D174">
        <v>100</v>
      </c>
      <c r="E174" t="s">
        <v>6</v>
      </c>
      <c r="F174" t="str">
        <f>IFERROR(VLOOKUP($A174,[1]data!$A$2:$G$50,2,FALSE),"nodata")</f>
        <v>nodata</v>
      </c>
      <c r="G174" t="str">
        <f>IFERROR(VLOOKUP($A174,[1]data!$A$2:$G$50,3,FALSE),"nodata")</f>
        <v>nodata</v>
      </c>
      <c r="H174" t="str">
        <f>IFERROR(VLOOKUP($A174,[1]data!$A$2:$G$50,4,FALSE),"nodata")</f>
        <v>nodata</v>
      </c>
      <c r="I174" t="str">
        <f>IFERROR(VLOOKUP($A174,[1]data!$A$2:$G$50,5,FALSE),"nodata")</f>
        <v>nodata</v>
      </c>
      <c r="J174" t="str">
        <f>IFERROR(VLOOKUP($A174,[1]data!$A$2:$G$50,6,FALSE),"nodata")</f>
        <v>nodata</v>
      </c>
      <c r="K174" t="str">
        <f>IFERROR(VLOOKUP($A174,[1]data!$A$2:$G$50,7,FALSE),"nodata")</f>
        <v>nodata</v>
      </c>
      <c r="L174">
        <f>VLOOKUP(A174,[2]Sheet1!$A$2:$G$265,7,FALSE)</f>
        <v>1369125</v>
      </c>
      <c r="M174" t="str">
        <f t="shared" si="2"/>
        <v>nodata</v>
      </c>
    </row>
    <row r="175" spans="1:13" x14ac:dyDescent="0.2">
      <c r="A175" t="s">
        <v>179</v>
      </c>
      <c r="B175">
        <v>77</v>
      </c>
      <c r="C175">
        <v>697</v>
      </c>
      <c r="D175">
        <v>100</v>
      </c>
      <c r="E175" t="s">
        <v>6</v>
      </c>
      <c r="F175">
        <f>IFERROR(VLOOKUP($A175,[1]data!$A$2:$G$50,2,FALSE),"nodata")</f>
        <v>155176</v>
      </c>
      <c r="G175">
        <f>IFERROR(VLOOKUP($A175,[1]data!$A$2:$G$50,3,FALSE),"nodata")</f>
        <v>2045</v>
      </c>
      <c r="H175">
        <f>IFERROR(VLOOKUP($A175,[1]data!$A$2:$G$50,4,FALSE),"nodata")</f>
        <v>4645</v>
      </c>
      <c r="I175">
        <f>IFERROR(VLOOKUP($A175,[1]data!$A$2:$G$50,5,FALSE),"nodata")</f>
        <v>6842</v>
      </c>
      <c r="J175">
        <f>IFERROR(VLOOKUP($A175,[1]data!$A$2:$G$50,6,FALSE),"nodata")</f>
        <v>13532</v>
      </c>
      <c r="K175">
        <f>IFERROR(VLOOKUP($A175,[1]data!$A$2:$G$50,7,FALSE),"nodata")</f>
        <v>8.7204206836108675E-2</v>
      </c>
      <c r="L175">
        <f>VLOOKUP(A175,[2]Sheet1!$A$2:$G$265,7,FALSE)</f>
        <v>11532127</v>
      </c>
      <c r="M175">
        <f t="shared" si="2"/>
        <v>1.1734175317354727E-3</v>
      </c>
    </row>
    <row r="176" spans="1:13" x14ac:dyDescent="0.2">
      <c r="A176" t="s">
        <v>180</v>
      </c>
      <c r="B176">
        <v>69</v>
      </c>
      <c r="C176">
        <v>600</v>
      </c>
      <c r="D176">
        <v>100</v>
      </c>
      <c r="E176" t="s">
        <v>6</v>
      </c>
      <c r="F176" t="str">
        <f>IFERROR(VLOOKUP($A176,[1]data!$A$2:$G$50,2,FALSE),"nodata")</f>
        <v>nodata</v>
      </c>
      <c r="G176" t="str">
        <f>IFERROR(VLOOKUP($A176,[1]data!$A$2:$G$50,3,FALSE),"nodata")</f>
        <v>nodata</v>
      </c>
      <c r="H176" t="str">
        <f>IFERROR(VLOOKUP($A176,[1]data!$A$2:$G$50,4,FALSE),"nodata")</f>
        <v>nodata</v>
      </c>
      <c r="I176" t="str">
        <f>IFERROR(VLOOKUP($A176,[1]data!$A$2:$G$50,5,FALSE),"nodata")</f>
        <v>nodata</v>
      </c>
      <c r="J176" t="str">
        <f>IFERROR(VLOOKUP($A176,[1]data!$A$2:$G$50,6,FALSE),"nodata")</f>
        <v>nodata</v>
      </c>
      <c r="K176" t="str">
        <f>IFERROR(VLOOKUP($A176,[1]data!$A$2:$G$50,7,FALSE),"nodata")</f>
        <v>nodata</v>
      </c>
      <c r="L176">
        <f>VLOOKUP(A176,[2]Sheet1!$A$2:$G$265,7,FALSE)</f>
        <v>80745020</v>
      </c>
      <c r="M176" t="str">
        <f t="shared" si="2"/>
        <v>nodata</v>
      </c>
    </row>
    <row r="177" spans="1:13" x14ac:dyDescent="0.2">
      <c r="A177" t="s">
        <v>181</v>
      </c>
      <c r="B177">
        <v>115</v>
      </c>
      <c r="C177">
        <v>8449</v>
      </c>
      <c r="D177">
        <v>27</v>
      </c>
      <c r="E177" t="s">
        <v>10</v>
      </c>
      <c r="F177">
        <f>IFERROR(VLOOKUP($A177,[1]data!$A$2:$G$50,2,FALSE),"nodata")</f>
        <v>241278</v>
      </c>
      <c r="G177">
        <f>IFERROR(VLOOKUP($A177,[1]data!$A$2:$G$50,3,FALSE),"nodata")</f>
        <v>8582</v>
      </c>
      <c r="H177">
        <f>IFERROR(VLOOKUP($A177,[1]data!$A$2:$G$50,4,FALSE),"nodata")</f>
        <v>9470</v>
      </c>
      <c r="I177">
        <f>IFERROR(VLOOKUP($A177,[1]data!$A$2:$G$50,5,FALSE),"nodata")</f>
        <v>815</v>
      </c>
      <c r="J177">
        <f>IFERROR(VLOOKUP($A177,[1]data!$A$2:$G$50,6,FALSE),"nodata")</f>
        <v>18867</v>
      </c>
      <c r="K177">
        <f>IFERROR(VLOOKUP($A177,[1]data!$A$2:$G$50,7,FALSE),"nodata")</f>
        <v>7.8196105736950738E-2</v>
      </c>
      <c r="L177">
        <f>VLOOKUP(A177,[2]Sheet1!$A$2:$G$265,7,FALSE)</f>
        <v>42862958</v>
      </c>
      <c r="M177">
        <f t="shared" si="2"/>
        <v>4.4017027476265169E-4</v>
      </c>
    </row>
    <row r="178" spans="1:13" x14ac:dyDescent="0.2">
      <c r="A178" t="s">
        <v>182</v>
      </c>
      <c r="B178">
        <v>80</v>
      </c>
      <c r="C178">
        <v>638</v>
      </c>
      <c r="D178">
        <v>100</v>
      </c>
      <c r="E178" t="s">
        <v>6</v>
      </c>
      <c r="F178" t="str">
        <f>IFERROR(VLOOKUP($A178,[1]data!$A$2:$G$50,2,FALSE),"nodata")</f>
        <v>nodata</v>
      </c>
      <c r="G178" t="str">
        <f>IFERROR(VLOOKUP($A178,[1]data!$A$2:$G$50,3,FALSE),"nodata")</f>
        <v>nodata</v>
      </c>
      <c r="H178" t="str">
        <f>IFERROR(VLOOKUP($A178,[1]data!$A$2:$G$50,4,FALSE),"nodata")</f>
        <v>nodata</v>
      </c>
      <c r="I178" t="str">
        <f>IFERROR(VLOOKUP($A178,[1]data!$A$2:$G$50,5,FALSE),"nodata")</f>
        <v>nodata</v>
      </c>
      <c r="J178" t="str">
        <f>IFERROR(VLOOKUP($A178,[1]data!$A$2:$G$50,6,FALSE),"nodata")</f>
        <v>nodata</v>
      </c>
      <c r="K178" t="str">
        <f>IFERROR(VLOOKUP($A178,[1]data!$A$2:$G$50,7,FALSE),"nodata")</f>
        <v>nodata</v>
      </c>
      <c r="L178">
        <f>VLOOKUP(A178,[2]Sheet1!$A$2:$G$265,7,FALSE)</f>
        <v>44831159</v>
      </c>
      <c r="M178" t="str">
        <f t="shared" si="2"/>
        <v>nodata</v>
      </c>
    </row>
    <row r="179" spans="1:13" x14ac:dyDescent="0.2">
      <c r="A179" t="s">
        <v>183</v>
      </c>
      <c r="B179">
        <v>26</v>
      </c>
      <c r="C179">
        <v>25</v>
      </c>
      <c r="D179">
        <v>100</v>
      </c>
      <c r="E179" t="s">
        <v>6</v>
      </c>
      <c r="F179" t="str">
        <f>IFERROR(VLOOKUP($A179,[1]data!$A$2:$G$50,2,FALSE),"nodata")</f>
        <v>nodata</v>
      </c>
      <c r="G179" t="str">
        <f>IFERROR(VLOOKUP($A179,[1]data!$A$2:$G$50,3,FALSE),"nodata")</f>
        <v>nodata</v>
      </c>
      <c r="H179" t="str">
        <f>IFERROR(VLOOKUP($A179,[1]data!$A$2:$G$50,4,FALSE),"nodata")</f>
        <v>nodata</v>
      </c>
      <c r="I179" t="str">
        <f>IFERROR(VLOOKUP($A179,[1]data!$A$2:$G$50,5,FALSE),"nodata")</f>
        <v>nodata</v>
      </c>
      <c r="J179" t="str">
        <f>IFERROR(VLOOKUP($A179,[1]data!$A$2:$G$50,6,FALSE),"nodata")</f>
        <v>nodata</v>
      </c>
      <c r="K179" t="str">
        <f>IFERROR(VLOOKUP($A179,[1]data!$A$2:$G$50,7,FALSE),"nodata")</f>
        <v>nodata</v>
      </c>
      <c r="L179">
        <f>VLOOKUP(A179,[2]Sheet1!$A$2:$G$265,7,FALSE)</f>
        <v>9400145</v>
      </c>
      <c r="M179" t="str">
        <f t="shared" si="2"/>
        <v>nodata</v>
      </c>
    </row>
    <row r="180" spans="1:13" x14ac:dyDescent="0.2">
      <c r="A180" t="s">
        <v>184</v>
      </c>
      <c r="B180">
        <v>7</v>
      </c>
      <c r="C180">
        <v>26</v>
      </c>
      <c r="D180">
        <v>100</v>
      </c>
      <c r="E180" t="s">
        <v>51</v>
      </c>
      <c r="F180" t="str">
        <f>IFERROR(VLOOKUP($A180,[1]data!$A$2:$G$50,2,FALSE),"nodata")</f>
        <v>nodata</v>
      </c>
      <c r="G180" t="str">
        <f>IFERROR(VLOOKUP($A180,[1]data!$A$2:$G$50,3,FALSE),"nodata")</f>
        <v>nodata</v>
      </c>
      <c r="H180" t="str">
        <f>IFERROR(VLOOKUP($A180,[1]data!$A$2:$G$50,4,FALSE),"nodata")</f>
        <v>nodata</v>
      </c>
      <c r="I180" t="str">
        <f>IFERROR(VLOOKUP($A180,[1]data!$A$2:$G$50,5,FALSE),"nodata")</f>
        <v>nodata</v>
      </c>
      <c r="J180" t="str">
        <f>IFERROR(VLOOKUP($A180,[1]data!$A$2:$G$50,6,FALSE),"nodata")</f>
        <v>nodata</v>
      </c>
      <c r="K180" t="str">
        <f>IFERROR(VLOOKUP($A180,[1]data!$A$2:$G$50,7,FALSE),"nodata")</f>
        <v>nodata</v>
      </c>
      <c r="L180">
        <f>VLOOKUP(A180,[2]Sheet1!$A$2:$G$265,7,FALSE)</f>
        <v>66022273</v>
      </c>
      <c r="M180" t="str">
        <f t="shared" si="2"/>
        <v>nodata</v>
      </c>
    </row>
    <row r="181" spans="1:13" x14ac:dyDescent="0.2">
      <c r="A181" t="s">
        <v>185</v>
      </c>
      <c r="B181">
        <v>8</v>
      </c>
      <c r="C181">
        <v>24</v>
      </c>
      <c r="D181">
        <v>100</v>
      </c>
      <c r="E181" t="s">
        <v>51</v>
      </c>
      <c r="F181">
        <f>IFERROR(VLOOKUP($A181,[1]data!$A$2:$G$50,2,FALSE),"nodata")</f>
        <v>9834000</v>
      </c>
      <c r="G181">
        <f>IFERROR(VLOOKUP($A181,[1]data!$A$2:$G$50,3,FALSE),"nodata")</f>
        <v>116100</v>
      </c>
      <c r="H181">
        <f>IFERROR(VLOOKUP($A181,[1]data!$A$2:$G$50,4,FALSE),"nodata")</f>
        <v>283710</v>
      </c>
      <c r="I181">
        <f>IFERROR(VLOOKUP($A181,[1]data!$A$2:$G$50,5,FALSE),"nodata")</f>
        <v>49760</v>
      </c>
      <c r="J181">
        <f>IFERROR(VLOOKUP($A181,[1]data!$A$2:$G$50,6,FALSE),"nodata")</f>
        <v>449570</v>
      </c>
      <c r="K181">
        <f>IFERROR(VLOOKUP($A181,[1]data!$A$2:$G$50,7,FALSE),"nodata")</f>
        <v>4.5715883668903806E-2</v>
      </c>
      <c r="L181">
        <f>VLOOKUP(A181,[2]Sheet1!$A$2:$G$265,7,FALSE)</f>
        <v>325719178</v>
      </c>
      <c r="M181">
        <f t="shared" si="2"/>
        <v>1.380238040512309E-3</v>
      </c>
    </row>
    <row r="182" spans="1:13" x14ac:dyDescent="0.2">
      <c r="A182" t="s">
        <v>186</v>
      </c>
      <c r="B182">
        <v>90</v>
      </c>
      <c r="C182">
        <v>13</v>
      </c>
      <c r="D182">
        <v>100</v>
      </c>
      <c r="E182" t="s">
        <v>6</v>
      </c>
      <c r="F182" t="str">
        <f>IFERROR(VLOOKUP($A182,[1]data!$A$2:$G$50,2,FALSE),"nodata")</f>
        <v>nodata</v>
      </c>
      <c r="G182" t="str">
        <f>IFERROR(VLOOKUP($A182,[1]data!$A$2:$G$50,3,FALSE),"nodata")</f>
        <v>nodata</v>
      </c>
      <c r="H182" t="str">
        <f>IFERROR(VLOOKUP($A182,[1]data!$A$2:$G$50,4,FALSE),"nodata")</f>
        <v>nodata</v>
      </c>
      <c r="I182" t="str">
        <f>IFERROR(VLOOKUP($A182,[1]data!$A$2:$G$50,5,FALSE),"nodata")</f>
        <v>nodata</v>
      </c>
      <c r="J182" t="str">
        <f>IFERROR(VLOOKUP($A182,[1]data!$A$2:$G$50,6,FALSE),"nodata")</f>
        <v>nodata</v>
      </c>
      <c r="K182" t="str">
        <f>IFERROR(VLOOKUP($A182,[1]data!$A$2:$G$50,7,FALSE),"nodata")</f>
        <v>nodata</v>
      </c>
      <c r="L182">
        <f>VLOOKUP(A182,[2]Sheet1!$A$2:$G$265,7,FALSE)</f>
        <v>3456750</v>
      </c>
      <c r="M182" t="str">
        <f t="shared" si="2"/>
        <v>nodata</v>
      </c>
    </row>
    <row r="183" spans="1:13" x14ac:dyDescent="0.2">
      <c r="A183" t="s">
        <v>187</v>
      </c>
      <c r="B183">
        <v>87</v>
      </c>
      <c r="C183">
        <v>1233</v>
      </c>
      <c r="D183">
        <v>100</v>
      </c>
      <c r="E183" t="s">
        <v>6</v>
      </c>
      <c r="F183" t="str">
        <f>IFERROR(VLOOKUP($A183,[1]data!$A$2:$G$50,2,FALSE),"nodata")</f>
        <v>nodata</v>
      </c>
      <c r="G183" t="str">
        <f>IFERROR(VLOOKUP($A183,[1]data!$A$2:$G$50,3,FALSE),"nodata")</f>
        <v>nodata</v>
      </c>
      <c r="H183" t="str">
        <f>IFERROR(VLOOKUP($A183,[1]data!$A$2:$G$50,4,FALSE),"nodata")</f>
        <v>nodata</v>
      </c>
      <c r="I183" t="str">
        <f>IFERROR(VLOOKUP($A183,[1]data!$A$2:$G$50,5,FALSE),"nodata")</f>
        <v>nodata</v>
      </c>
      <c r="J183" t="str">
        <f>IFERROR(VLOOKUP($A183,[1]data!$A$2:$G$50,6,FALSE),"nodata")</f>
        <v>nodata</v>
      </c>
      <c r="K183" t="str">
        <f>IFERROR(VLOOKUP($A183,[1]data!$A$2:$G$50,7,FALSE),"nodata")</f>
        <v>nodata</v>
      </c>
      <c r="L183">
        <f>VLOOKUP(A183,[2]Sheet1!$A$2:$G$265,7,FALSE)</f>
        <v>32387200</v>
      </c>
      <c r="M183" t="str">
        <f t="shared" si="2"/>
        <v>nodata</v>
      </c>
    </row>
    <row r="184" spans="1:13" x14ac:dyDescent="0.2">
      <c r="A184" t="s">
        <v>188</v>
      </c>
      <c r="B184">
        <v>83</v>
      </c>
      <c r="C184">
        <v>1091</v>
      </c>
      <c r="D184">
        <v>58</v>
      </c>
      <c r="E184" t="s">
        <v>6</v>
      </c>
      <c r="F184" t="str">
        <f>IFERROR(VLOOKUP($A184,[1]data!$A$2:$G$50,2,FALSE),"nodata")</f>
        <v>nodata</v>
      </c>
      <c r="G184" t="str">
        <f>IFERROR(VLOOKUP($A184,[1]data!$A$2:$G$50,3,FALSE),"nodata")</f>
        <v>nodata</v>
      </c>
      <c r="H184" t="str">
        <f>IFERROR(VLOOKUP($A184,[1]data!$A$2:$G$50,4,FALSE),"nodata")</f>
        <v>nodata</v>
      </c>
      <c r="I184" t="str">
        <f>IFERROR(VLOOKUP($A184,[1]data!$A$2:$G$50,5,FALSE),"nodata")</f>
        <v>nodata</v>
      </c>
      <c r="J184" t="str">
        <f>IFERROR(VLOOKUP($A184,[1]data!$A$2:$G$50,6,FALSE),"nodata")</f>
        <v>nodata</v>
      </c>
      <c r="K184" t="str">
        <f>IFERROR(VLOOKUP($A184,[1]data!$A$2:$G$50,7,FALSE),"nodata")</f>
        <v>nodata</v>
      </c>
      <c r="L184">
        <f>VLOOKUP(A184,[2]Sheet1!$A$2:$G$265,7,FALSE)</f>
        <v>276244</v>
      </c>
      <c r="M184" t="str">
        <f t="shared" si="2"/>
        <v>nodata</v>
      </c>
    </row>
    <row r="185" spans="1:13" x14ac:dyDescent="0.2">
      <c r="A185" t="s">
        <v>189</v>
      </c>
      <c r="B185">
        <v>187</v>
      </c>
      <c r="C185">
        <v>18867</v>
      </c>
      <c r="D185">
        <v>100</v>
      </c>
      <c r="E185" t="s">
        <v>6</v>
      </c>
      <c r="F185" t="str">
        <f>IFERROR(VLOOKUP($A185,[1]data!$A$2:$G$50,2,FALSE),"nodata")</f>
        <v>nodata</v>
      </c>
      <c r="G185" t="str">
        <f>IFERROR(VLOOKUP($A185,[1]data!$A$2:$G$50,3,FALSE),"nodata")</f>
        <v>nodata</v>
      </c>
      <c r="H185" t="str">
        <f>IFERROR(VLOOKUP($A185,[1]data!$A$2:$G$50,4,FALSE),"nodata")</f>
        <v>nodata</v>
      </c>
      <c r="I185" t="str">
        <f>IFERROR(VLOOKUP($A185,[1]data!$A$2:$G$50,5,FALSE),"nodata")</f>
        <v>nodata</v>
      </c>
      <c r="J185" t="str">
        <f>IFERROR(VLOOKUP($A185,[1]data!$A$2:$G$50,6,FALSE),"nodata")</f>
        <v>nodata</v>
      </c>
      <c r="K185" t="str">
        <f>IFERROR(VLOOKUP($A185,[1]data!$A$2:$G$50,7,FALSE),"nodata")</f>
        <v>nodata</v>
      </c>
      <c r="L185">
        <f>VLOOKUP(A185,[2]Sheet1!$A$2:$G$265,7,FALSE)</f>
        <v>31977065</v>
      </c>
      <c r="M185" t="str">
        <f t="shared" si="2"/>
        <v>nodata</v>
      </c>
    </row>
    <row r="186" spans="1:13" x14ac:dyDescent="0.2">
      <c r="A186" t="s">
        <v>190</v>
      </c>
      <c r="B186">
        <v>82</v>
      </c>
      <c r="C186">
        <v>1261</v>
      </c>
      <c r="D186">
        <v>100</v>
      </c>
      <c r="E186" t="s">
        <v>6</v>
      </c>
      <c r="F186" t="str">
        <f>IFERROR(VLOOKUP($A186,[1]data!$A$2:$G$50,2,FALSE),"nodata")</f>
        <v>nodata</v>
      </c>
      <c r="G186" t="str">
        <f>IFERROR(VLOOKUP($A186,[1]data!$A$2:$G$50,3,FALSE),"nodata")</f>
        <v>nodata</v>
      </c>
      <c r="H186" t="str">
        <f>IFERROR(VLOOKUP($A186,[1]data!$A$2:$G$50,4,FALSE),"nodata")</f>
        <v>nodata</v>
      </c>
      <c r="I186" t="str">
        <f>IFERROR(VLOOKUP($A186,[1]data!$A$2:$G$50,5,FALSE),"nodata")</f>
        <v>nodata</v>
      </c>
      <c r="J186" t="str">
        <f>IFERROR(VLOOKUP($A186,[1]data!$A$2:$G$50,6,FALSE),"nodata")</f>
        <v>nodata</v>
      </c>
      <c r="K186" t="str">
        <f>IFERROR(VLOOKUP($A186,[1]data!$A$2:$G$50,7,FALSE),"nodata")</f>
        <v>nodata</v>
      </c>
      <c r="L186">
        <f>VLOOKUP(A186,[2]Sheet1!$A$2:$G$265,7,FALSE)</f>
        <v>95540800</v>
      </c>
      <c r="M186" t="str">
        <f t="shared" si="2"/>
        <v>nodata</v>
      </c>
    </row>
    <row r="187" spans="1:13" x14ac:dyDescent="0.2">
      <c r="A187" t="s">
        <v>191</v>
      </c>
      <c r="B187">
        <v>140</v>
      </c>
      <c r="C187">
        <v>1541</v>
      </c>
      <c r="D187">
        <v>100</v>
      </c>
      <c r="E187" t="s">
        <v>6</v>
      </c>
      <c r="F187" t="str">
        <f>IFERROR(VLOOKUP($A187,[1]data!$A$2:$G$50,2,FALSE),"nodata")</f>
        <v>nodata</v>
      </c>
      <c r="G187" t="str">
        <f>IFERROR(VLOOKUP($A187,[1]data!$A$2:$G$50,3,FALSE),"nodata")</f>
        <v>nodata</v>
      </c>
      <c r="H187" t="str">
        <f>IFERROR(VLOOKUP($A187,[1]data!$A$2:$G$50,4,FALSE),"nodata")</f>
        <v>nodata</v>
      </c>
      <c r="I187" t="str">
        <f>IFERROR(VLOOKUP($A187,[1]data!$A$2:$G$50,5,FALSE),"nodata")</f>
        <v>nodata</v>
      </c>
      <c r="J187" t="str">
        <f>IFERROR(VLOOKUP($A187,[1]data!$A$2:$G$50,6,FALSE),"nodata")</f>
        <v>nodata</v>
      </c>
      <c r="K187" t="str">
        <f>IFERROR(VLOOKUP($A187,[1]data!$A$2:$G$50,7,FALSE),"nodata")</f>
        <v>nodata</v>
      </c>
      <c r="L187">
        <f>VLOOKUP(A187,[2]Sheet1!$A$2:$G$265,7,FALSE)</f>
        <v>4684777</v>
      </c>
      <c r="M187" t="str">
        <f t="shared" si="2"/>
        <v>nodata</v>
      </c>
    </row>
    <row r="188" spans="1:13" x14ac:dyDescent="0.2">
      <c r="A188" t="s">
        <v>192</v>
      </c>
      <c r="B188">
        <v>179</v>
      </c>
      <c r="C188">
        <v>0</v>
      </c>
      <c r="D188">
        <v>72</v>
      </c>
      <c r="E188" t="s">
        <v>6</v>
      </c>
      <c r="F188" t="str">
        <f>IFERROR(VLOOKUP($A188,[1]data!$A$2:$G$50,2,FALSE),"nodata")</f>
        <v>nodata</v>
      </c>
      <c r="G188" t="str">
        <f>IFERROR(VLOOKUP($A188,[1]data!$A$2:$G$50,3,FALSE),"nodata")</f>
        <v>nodata</v>
      </c>
      <c r="H188" t="str">
        <f>IFERROR(VLOOKUP($A188,[1]data!$A$2:$G$50,4,FALSE),"nodata")</f>
        <v>nodata</v>
      </c>
      <c r="I188" t="str">
        <f>IFERROR(VLOOKUP($A188,[1]data!$A$2:$G$50,5,FALSE),"nodata")</f>
        <v>nodata</v>
      </c>
      <c r="J188" t="str">
        <f>IFERROR(VLOOKUP($A188,[1]data!$A$2:$G$50,6,FALSE),"nodata")</f>
        <v>nodata</v>
      </c>
      <c r="K188" t="str">
        <f>IFERROR(VLOOKUP($A188,[1]data!$A$2:$G$50,7,FALSE),"nodata")</f>
        <v>nodata</v>
      </c>
      <c r="L188">
        <f>VLOOKUP(A188,[2]Sheet1!$A$2:$G$265,7,FALSE)</f>
        <v>28250420</v>
      </c>
      <c r="M188" t="str">
        <f t="shared" si="2"/>
        <v>nodata</v>
      </c>
    </row>
    <row r="189" spans="1:13" x14ac:dyDescent="0.2">
      <c r="A189" t="s">
        <v>193</v>
      </c>
      <c r="B189">
        <v>98</v>
      </c>
      <c r="C189">
        <v>610</v>
      </c>
      <c r="D189">
        <v>27</v>
      </c>
      <c r="E189" t="s">
        <v>10</v>
      </c>
      <c r="F189">
        <f>IFERROR(VLOOKUP($A189,[1]data!$A$2:$G$50,2,FALSE),"nodata")</f>
        <v>751315</v>
      </c>
      <c r="G189">
        <f>IFERROR(VLOOKUP($A189,[1]data!$A$2:$G$50,3,FALSE),"nodata")</f>
        <v>15691</v>
      </c>
      <c r="H189">
        <f>IFERROR(VLOOKUP($A189,[1]data!$A$2:$G$50,4,FALSE),"nodata")</f>
        <v>17894</v>
      </c>
      <c r="I189">
        <f>IFERROR(VLOOKUP($A189,[1]data!$A$2:$G$50,5,FALSE),"nodata")</f>
        <v>13229</v>
      </c>
      <c r="J189">
        <f>IFERROR(VLOOKUP($A189,[1]data!$A$2:$G$50,6,FALSE),"nodata")</f>
        <v>46814</v>
      </c>
      <c r="K189">
        <f>IFERROR(VLOOKUP($A189,[1]data!$A$2:$G$50,7,FALSE),"nodata")</f>
        <v>6.2309417488004365E-2</v>
      </c>
      <c r="L189">
        <f>VLOOKUP(A189,[2]Sheet1!$A$2:$G$265,7,FALSE)</f>
        <v>17094130</v>
      </c>
      <c r="M189">
        <f t="shared" si="2"/>
        <v>2.7386009115409793E-3</v>
      </c>
    </row>
    <row r="190" spans="1:13" x14ac:dyDescent="0.2">
      <c r="A190" t="s">
        <v>194</v>
      </c>
      <c r="B190">
        <v>161</v>
      </c>
      <c r="C190">
        <v>2958</v>
      </c>
      <c r="D190">
        <v>38</v>
      </c>
      <c r="E190" t="s">
        <v>10</v>
      </c>
      <c r="F190">
        <f>IFERROR(VLOOKUP($A190,[1]data!$A$2:$G$50,2,FALSE),"nodata")</f>
        <v>390649</v>
      </c>
      <c r="G190">
        <f>IFERROR(VLOOKUP($A190,[1]data!$A$2:$G$50,3,FALSE),"nodata")</f>
        <v>11874</v>
      </c>
      <c r="H190">
        <f>IFERROR(VLOOKUP($A190,[1]data!$A$2:$G$50,4,FALSE),"nodata")</f>
        <v>15684</v>
      </c>
      <c r="I190">
        <f>IFERROR(VLOOKUP($A190,[1]data!$A$2:$G$50,5,FALSE),"nodata")</f>
        <v>12137</v>
      </c>
      <c r="J190">
        <f>IFERROR(VLOOKUP($A190,[1]data!$A$2:$G$50,6,FALSE),"nodata")</f>
        <v>39695</v>
      </c>
      <c r="K190">
        <f>IFERROR(VLOOKUP($A190,[1]data!$A$2:$G$50,7,FALSE),"nodata")</f>
        <v>0.10161295689992807</v>
      </c>
      <c r="L190">
        <f>VLOOKUP(A190,[2]Sheet1!$A$2:$G$265,7,FALSE)</f>
        <v>16529904</v>
      </c>
      <c r="M190">
        <f t="shared" si="2"/>
        <v>2.4014053560141666E-3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90"/>
  <sheetViews>
    <sheetView tabSelected="1" workbookViewId="0">
      <selection activeCell="K2" sqref="K2"/>
    </sheetView>
  </sheetViews>
  <sheetFormatPr baseColWidth="10" defaultRowHeight="16" x14ac:dyDescent="0.2"/>
  <cols>
    <col min="1" max="1" width="27" bestFit="1" customWidth="1"/>
    <col min="2" max="2" width="5" bestFit="1" customWidth="1"/>
    <col min="3" max="3" width="6.1640625" bestFit="1" customWidth="1"/>
    <col min="4" max="4" width="6.6640625" bestFit="1" customWidth="1"/>
    <col min="5" max="5" width="8.33203125" bestFit="1" customWidth="1"/>
    <col min="6" max="6" width="12.1640625" bestFit="1" customWidth="1"/>
    <col min="7" max="8" width="7.1640625" bestFit="1" customWidth="1"/>
    <col min="9" max="9" width="10.33203125" bestFit="1" customWidth="1"/>
    <col min="10" max="10" width="8.1640625" bestFit="1" customWidth="1"/>
    <col min="11" max="11" width="12.1640625" bestFit="1" customWidth="1"/>
    <col min="12" max="12" width="13.83203125" bestFit="1" customWidth="1"/>
    <col min="13" max="13" width="12.16406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195</v>
      </c>
      <c r="G1" t="s">
        <v>196</v>
      </c>
      <c r="H1" t="s">
        <v>197</v>
      </c>
      <c r="I1" t="s">
        <v>198</v>
      </c>
      <c r="J1" t="s">
        <v>199</v>
      </c>
      <c r="K1" t="s">
        <v>207</v>
      </c>
      <c r="L1" t="s">
        <v>205</v>
      </c>
      <c r="M1" t="s">
        <v>206</v>
      </c>
    </row>
    <row r="2" spans="1:13" x14ac:dyDescent="0.2">
      <c r="A2" t="s">
        <v>5</v>
      </c>
      <c r="B2">
        <v>183</v>
      </c>
      <c r="C2">
        <v>2275</v>
      </c>
      <c r="D2">
        <v>84</v>
      </c>
      <c r="E2" t="s">
        <v>6</v>
      </c>
      <c r="F2" t="s">
        <v>201</v>
      </c>
      <c r="G2" t="s">
        <v>201</v>
      </c>
      <c r="H2" t="s">
        <v>201</v>
      </c>
      <c r="I2" t="s">
        <v>201</v>
      </c>
      <c r="J2" t="s">
        <v>201</v>
      </c>
      <c r="K2" t="s">
        <v>201</v>
      </c>
      <c r="L2">
        <v>35530081</v>
      </c>
      <c r="M2" t="s">
        <v>201</v>
      </c>
    </row>
    <row r="3" spans="1:13" x14ac:dyDescent="0.2">
      <c r="A3" t="s">
        <v>7</v>
      </c>
      <c r="B3">
        <v>58</v>
      </c>
      <c r="C3">
        <v>516</v>
      </c>
      <c r="D3">
        <v>100</v>
      </c>
      <c r="E3" t="s">
        <v>6</v>
      </c>
      <c r="F3" t="s">
        <v>201</v>
      </c>
      <c r="G3" t="s">
        <v>201</v>
      </c>
      <c r="H3" t="s">
        <v>201</v>
      </c>
      <c r="I3" t="s">
        <v>201</v>
      </c>
      <c r="J3" t="s">
        <v>201</v>
      </c>
      <c r="K3" t="s">
        <v>201</v>
      </c>
      <c r="L3">
        <v>2873457</v>
      </c>
      <c r="M3" t="s">
        <v>201</v>
      </c>
    </row>
    <row r="4" spans="1:13" x14ac:dyDescent="0.2">
      <c r="A4" t="s">
        <v>8</v>
      </c>
      <c r="B4">
        <v>156</v>
      </c>
      <c r="C4">
        <v>1330</v>
      </c>
      <c r="D4">
        <v>99</v>
      </c>
      <c r="E4" t="s">
        <v>6</v>
      </c>
      <c r="F4">
        <v>2316559</v>
      </c>
      <c r="G4">
        <v>26530</v>
      </c>
      <c r="H4">
        <v>27904</v>
      </c>
      <c r="I4">
        <v>30155</v>
      </c>
      <c r="J4">
        <v>84589</v>
      </c>
      <c r="K4">
        <v>3.6514934435082379E-2</v>
      </c>
      <c r="L4">
        <v>41318142</v>
      </c>
      <c r="M4">
        <v>2.0472604987900956E-3</v>
      </c>
    </row>
    <row r="5" spans="1:13" x14ac:dyDescent="0.2">
      <c r="A5" t="s">
        <v>9</v>
      </c>
      <c r="B5">
        <v>182</v>
      </c>
      <c r="C5">
        <v>1197</v>
      </c>
      <c r="D5">
        <v>41</v>
      </c>
      <c r="E5" t="s">
        <v>10</v>
      </c>
      <c r="F5">
        <v>1247357</v>
      </c>
      <c r="G5">
        <v>9786</v>
      </c>
      <c r="H5">
        <v>13319</v>
      </c>
      <c r="I5">
        <v>202</v>
      </c>
      <c r="J5">
        <v>23307</v>
      </c>
      <c r="K5">
        <v>1.8685107791915227E-2</v>
      </c>
      <c r="L5">
        <v>29784193</v>
      </c>
      <c r="M5">
        <v>7.8252917579469078E-4</v>
      </c>
    </row>
    <row r="6" spans="1:13" x14ac:dyDescent="0.2">
      <c r="A6" t="s">
        <v>11</v>
      </c>
      <c r="B6">
        <v>113</v>
      </c>
      <c r="C6">
        <v>118</v>
      </c>
      <c r="D6">
        <v>97</v>
      </c>
      <c r="E6" t="s">
        <v>6</v>
      </c>
      <c r="F6" t="s">
        <v>201</v>
      </c>
      <c r="G6" t="s">
        <v>201</v>
      </c>
      <c r="H6" t="s">
        <v>201</v>
      </c>
      <c r="I6" t="s">
        <v>201</v>
      </c>
      <c r="J6" t="s">
        <v>201</v>
      </c>
      <c r="K6" t="s">
        <v>201</v>
      </c>
      <c r="L6">
        <v>102012</v>
      </c>
      <c r="M6" t="s">
        <v>201</v>
      </c>
    </row>
    <row r="7" spans="1:13" x14ac:dyDescent="0.2">
      <c r="A7" t="s">
        <v>12</v>
      </c>
      <c r="B7">
        <v>116</v>
      </c>
      <c r="C7">
        <v>32</v>
      </c>
      <c r="D7">
        <v>100</v>
      </c>
      <c r="E7" t="s">
        <v>6</v>
      </c>
      <c r="F7" t="s">
        <v>201</v>
      </c>
      <c r="G7" t="s">
        <v>201</v>
      </c>
      <c r="H7" t="s">
        <v>201</v>
      </c>
      <c r="I7" t="s">
        <v>201</v>
      </c>
      <c r="J7" t="s">
        <v>201</v>
      </c>
      <c r="K7" t="s">
        <v>201</v>
      </c>
      <c r="L7">
        <v>44271041</v>
      </c>
      <c r="M7" t="s">
        <v>201</v>
      </c>
    </row>
    <row r="8" spans="1:13" x14ac:dyDescent="0.2">
      <c r="A8" t="s">
        <v>13</v>
      </c>
      <c r="B8">
        <v>38</v>
      </c>
      <c r="C8">
        <v>80</v>
      </c>
      <c r="D8">
        <v>100</v>
      </c>
      <c r="E8" t="s">
        <v>6</v>
      </c>
      <c r="F8" t="s">
        <v>201</v>
      </c>
      <c r="G8" t="s">
        <v>201</v>
      </c>
      <c r="H8" t="s">
        <v>201</v>
      </c>
      <c r="I8" t="s">
        <v>201</v>
      </c>
      <c r="J8" t="s">
        <v>201</v>
      </c>
      <c r="K8" t="s">
        <v>201</v>
      </c>
      <c r="L8">
        <v>2930450</v>
      </c>
      <c r="M8" t="s">
        <v>201</v>
      </c>
    </row>
    <row r="9" spans="1:13" x14ac:dyDescent="0.2">
      <c r="A9" t="s">
        <v>14</v>
      </c>
      <c r="B9">
        <v>15</v>
      </c>
      <c r="C9">
        <v>13</v>
      </c>
      <c r="D9">
        <v>100</v>
      </c>
      <c r="E9" t="s">
        <v>6</v>
      </c>
      <c r="F9" t="s">
        <v>201</v>
      </c>
      <c r="G9" t="s">
        <v>201</v>
      </c>
      <c r="H9" t="s">
        <v>201</v>
      </c>
      <c r="I9" t="s">
        <v>201</v>
      </c>
      <c r="J9" t="s">
        <v>201</v>
      </c>
      <c r="K9" t="s">
        <v>201</v>
      </c>
      <c r="L9">
        <v>24598933</v>
      </c>
      <c r="M9" t="s">
        <v>201</v>
      </c>
    </row>
    <row r="10" spans="1:13" x14ac:dyDescent="0.2">
      <c r="A10" t="s">
        <v>15</v>
      </c>
      <c r="B10">
        <v>19</v>
      </c>
      <c r="C10">
        <v>96</v>
      </c>
      <c r="D10">
        <v>100</v>
      </c>
      <c r="E10" t="s">
        <v>6</v>
      </c>
      <c r="F10" t="s">
        <v>201</v>
      </c>
      <c r="G10" t="s">
        <v>201</v>
      </c>
      <c r="H10" t="s">
        <v>201</v>
      </c>
      <c r="I10" t="s">
        <v>201</v>
      </c>
      <c r="J10" t="s">
        <v>201</v>
      </c>
      <c r="K10" t="s">
        <v>201</v>
      </c>
      <c r="L10">
        <v>8809212</v>
      </c>
      <c r="M10" t="s">
        <v>201</v>
      </c>
    </row>
    <row r="11" spans="1:13" x14ac:dyDescent="0.2">
      <c r="A11" t="s">
        <v>16</v>
      </c>
      <c r="B11">
        <v>65</v>
      </c>
      <c r="C11">
        <v>150</v>
      </c>
      <c r="D11">
        <v>100</v>
      </c>
      <c r="E11" t="s">
        <v>6</v>
      </c>
      <c r="F11" t="s">
        <v>201</v>
      </c>
      <c r="G11" t="s">
        <v>201</v>
      </c>
      <c r="H11" t="s">
        <v>201</v>
      </c>
      <c r="I11" t="s">
        <v>201</v>
      </c>
      <c r="J11" t="s">
        <v>201</v>
      </c>
      <c r="K11" t="s">
        <v>201</v>
      </c>
      <c r="L11">
        <v>9862429</v>
      </c>
      <c r="M11" t="s">
        <v>201</v>
      </c>
    </row>
    <row r="12" spans="1:13" x14ac:dyDescent="0.2">
      <c r="A12" t="s">
        <v>17</v>
      </c>
      <c r="B12">
        <v>121</v>
      </c>
      <c r="C12">
        <v>120</v>
      </c>
      <c r="D12">
        <v>100</v>
      </c>
      <c r="E12" t="s">
        <v>6</v>
      </c>
      <c r="F12" t="s">
        <v>201</v>
      </c>
      <c r="G12" t="s">
        <v>201</v>
      </c>
      <c r="H12" t="s">
        <v>201</v>
      </c>
      <c r="I12" t="s">
        <v>201</v>
      </c>
      <c r="J12" t="s">
        <v>201</v>
      </c>
      <c r="K12" t="s">
        <v>201</v>
      </c>
      <c r="L12">
        <v>395361</v>
      </c>
      <c r="M12" t="s">
        <v>201</v>
      </c>
    </row>
    <row r="13" spans="1:13" x14ac:dyDescent="0.2">
      <c r="A13" t="s">
        <v>18</v>
      </c>
      <c r="B13">
        <v>63</v>
      </c>
      <c r="C13">
        <v>67</v>
      </c>
      <c r="D13">
        <v>100</v>
      </c>
      <c r="E13" t="s">
        <v>6</v>
      </c>
      <c r="F13" t="s">
        <v>201</v>
      </c>
      <c r="G13" t="s">
        <v>201</v>
      </c>
      <c r="H13" t="s">
        <v>201</v>
      </c>
      <c r="I13" t="s">
        <v>201</v>
      </c>
      <c r="J13" t="s">
        <v>201</v>
      </c>
      <c r="K13" t="s">
        <v>201</v>
      </c>
      <c r="L13">
        <v>1492584</v>
      </c>
      <c r="M13" t="s">
        <v>201</v>
      </c>
    </row>
    <row r="14" spans="1:13" x14ac:dyDescent="0.2">
      <c r="A14" t="s">
        <v>19</v>
      </c>
      <c r="B14">
        <v>176</v>
      </c>
      <c r="C14">
        <v>2865</v>
      </c>
      <c r="D14">
        <v>76</v>
      </c>
      <c r="E14" t="s">
        <v>6</v>
      </c>
      <c r="F14" t="s">
        <v>201</v>
      </c>
      <c r="G14" t="s">
        <v>201</v>
      </c>
      <c r="H14" t="s">
        <v>201</v>
      </c>
      <c r="I14" t="s">
        <v>201</v>
      </c>
      <c r="J14" t="s">
        <v>201</v>
      </c>
      <c r="K14" t="s">
        <v>201</v>
      </c>
      <c r="L14">
        <v>164669751</v>
      </c>
      <c r="M14" t="s">
        <v>201</v>
      </c>
    </row>
    <row r="15" spans="1:13" x14ac:dyDescent="0.2">
      <c r="A15" t="s">
        <v>20</v>
      </c>
      <c r="B15">
        <v>117</v>
      </c>
      <c r="C15">
        <v>65</v>
      </c>
      <c r="D15">
        <v>100</v>
      </c>
      <c r="E15" t="s">
        <v>6</v>
      </c>
      <c r="F15" t="s">
        <v>201</v>
      </c>
      <c r="G15" t="s">
        <v>201</v>
      </c>
      <c r="H15" t="s">
        <v>201</v>
      </c>
      <c r="I15" t="s">
        <v>201</v>
      </c>
      <c r="J15" t="s">
        <v>201</v>
      </c>
      <c r="K15" t="s">
        <v>201</v>
      </c>
      <c r="L15">
        <v>285719</v>
      </c>
      <c r="M15" t="s">
        <v>201</v>
      </c>
    </row>
    <row r="16" spans="1:13" x14ac:dyDescent="0.2">
      <c r="A16" t="s">
        <v>21</v>
      </c>
      <c r="B16">
        <v>37</v>
      </c>
      <c r="C16">
        <v>119</v>
      </c>
      <c r="D16">
        <v>100</v>
      </c>
      <c r="E16" t="s">
        <v>6</v>
      </c>
      <c r="F16" t="s">
        <v>201</v>
      </c>
      <c r="G16" t="s">
        <v>201</v>
      </c>
      <c r="H16" t="s">
        <v>201</v>
      </c>
      <c r="I16" t="s">
        <v>201</v>
      </c>
      <c r="J16" t="s">
        <v>201</v>
      </c>
      <c r="K16" t="s">
        <v>201</v>
      </c>
      <c r="L16">
        <v>9507875</v>
      </c>
      <c r="M16" t="s">
        <v>201</v>
      </c>
    </row>
    <row r="17" spans="1:13" x14ac:dyDescent="0.2">
      <c r="A17" t="s">
        <v>22</v>
      </c>
      <c r="B17">
        <v>42</v>
      </c>
      <c r="C17">
        <v>102</v>
      </c>
      <c r="D17">
        <v>100</v>
      </c>
      <c r="E17" t="s">
        <v>6</v>
      </c>
      <c r="F17" t="s">
        <v>201</v>
      </c>
      <c r="G17" t="s">
        <v>201</v>
      </c>
      <c r="H17" t="s">
        <v>201</v>
      </c>
      <c r="I17" t="s">
        <v>201</v>
      </c>
      <c r="J17" t="s">
        <v>201</v>
      </c>
      <c r="K17" t="s">
        <v>201</v>
      </c>
      <c r="L17">
        <v>11372068</v>
      </c>
      <c r="M17" t="s">
        <v>201</v>
      </c>
    </row>
    <row r="18" spans="1:13" x14ac:dyDescent="0.2">
      <c r="A18" t="s">
        <v>23</v>
      </c>
      <c r="B18">
        <v>112</v>
      </c>
      <c r="C18">
        <v>320</v>
      </c>
      <c r="D18">
        <v>92</v>
      </c>
      <c r="E18" t="s">
        <v>6</v>
      </c>
      <c r="F18" t="s">
        <v>201</v>
      </c>
      <c r="G18" t="s">
        <v>201</v>
      </c>
      <c r="H18" t="s">
        <v>201</v>
      </c>
      <c r="I18" t="s">
        <v>201</v>
      </c>
      <c r="J18" t="s">
        <v>201</v>
      </c>
      <c r="K18" t="s">
        <v>201</v>
      </c>
      <c r="L18">
        <v>374681</v>
      </c>
      <c r="M18" t="s">
        <v>201</v>
      </c>
    </row>
    <row r="19" spans="1:13" x14ac:dyDescent="0.2">
      <c r="A19" t="s">
        <v>24</v>
      </c>
      <c r="B19">
        <v>155</v>
      </c>
      <c r="C19">
        <v>12582</v>
      </c>
      <c r="D19">
        <v>41</v>
      </c>
      <c r="E19" t="s">
        <v>10</v>
      </c>
      <c r="F19">
        <v>115543</v>
      </c>
      <c r="G19">
        <v>0</v>
      </c>
      <c r="H19">
        <v>3898</v>
      </c>
      <c r="I19">
        <v>405</v>
      </c>
      <c r="J19">
        <v>4303</v>
      </c>
      <c r="K19">
        <v>3.7241546437257127E-2</v>
      </c>
      <c r="L19">
        <v>11175692</v>
      </c>
      <c r="M19">
        <v>3.8503208570887603E-4</v>
      </c>
    </row>
    <row r="20" spans="1:13" x14ac:dyDescent="0.2">
      <c r="A20" t="s">
        <v>25</v>
      </c>
      <c r="B20">
        <v>73</v>
      </c>
      <c r="C20">
        <v>525</v>
      </c>
      <c r="D20">
        <v>100</v>
      </c>
      <c r="E20" t="s">
        <v>6</v>
      </c>
      <c r="F20" t="s">
        <v>201</v>
      </c>
      <c r="G20" t="s">
        <v>201</v>
      </c>
      <c r="H20" t="s">
        <v>201</v>
      </c>
      <c r="I20" t="s">
        <v>201</v>
      </c>
      <c r="J20" t="s">
        <v>201</v>
      </c>
      <c r="K20" t="s">
        <v>201</v>
      </c>
      <c r="L20">
        <v>807610</v>
      </c>
      <c r="M20" t="s">
        <v>201</v>
      </c>
    </row>
    <row r="21" spans="1:13" x14ac:dyDescent="0.2">
      <c r="A21" t="s">
        <v>26</v>
      </c>
      <c r="B21">
        <v>149</v>
      </c>
      <c r="C21">
        <v>687</v>
      </c>
      <c r="D21">
        <v>93</v>
      </c>
      <c r="E21" t="s">
        <v>6</v>
      </c>
      <c r="F21" t="s">
        <v>201</v>
      </c>
      <c r="G21" t="s">
        <v>201</v>
      </c>
      <c r="H21" t="s">
        <v>201</v>
      </c>
      <c r="I21" t="s">
        <v>201</v>
      </c>
      <c r="J21" t="s">
        <v>201</v>
      </c>
      <c r="K21" t="s">
        <v>201</v>
      </c>
      <c r="L21">
        <v>11051600</v>
      </c>
      <c r="M21" t="s">
        <v>201</v>
      </c>
    </row>
    <row r="22" spans="1:13" x14ac:dyDescent="0.2">
      <c r="A22" t="s">
        <v>27</v>
      </c>
      <c r="B22">
        <v>81</v>
      </c>
      <c r="C22">
        <v>400</v>
      </c>
      <c r="D22">
        <v>100</v>
      </c>
      <c r="E22" t="s">
        <v>6</v>
      </c>
      <c r="F22" t="s">
        <v>201</v>
      </c>
      <c r="G22" t="s">
        <v>201</v>
      </c>
      <c r="H22" t="s">
        <v>201</v>
      </c>
      <c r="I22" t="s">
        <v>201</v>
      </c>
      <c r="J22" t="s">
        <v>201</v>
      </c>
      <c r="K22" t="s">
        <v>201</v>
      </c>
      <c r="L22">
        <v>3507017</v>
      </c>
      <c r="M22" t="s">
        <v>201</v>
      </c>
    </row>
    <row r="23" spans="1:13" x14ac:dyDescent="0.2">
      <c r="A23" t="s">
        <v>28</v>
      </c>
      <c r="B23">
        <v>71</v>
      </c>
      <c r="C23">
        <v>324</v>
      </c>
      <c r="D23">
        <v>61</v>
      </c>
      <c r="E23" t="s">
        <v>10</v>
      </c>
      <c r="F23">
        <v>578084</v>
      </c>
      <c r="G23">
        <v>13070</v>
      </c>
      <c r="H23">
        <v>13764</v>
      </c>
      <c r="I23">
        <v>9793</v>
      </c>
      <c r="J23">
        <v>36627</v>
      </c>
      <c r="K23">
        <v>6.3359304184167006E-2</v>
      </c>
      <c r="L23">
        <v>2291661</v>
      </c>
      <c r="M23">
        <v>1.5982730430024336E-2</v>
      </c>
    </row>
    <row r="24" spans="1:13" x14ac:dyDescent="0.2">
      <c r="A24" t="s">
        <v>29</v>
      </c>
      <c r="B24">
        <v>123</v>
      </c>
      <c r="C24">
        <v>58</v>
      </c>
      <c r="D24">
        <v>100</v>
      </c>
      <c r="E24" t="s">
        <v>6</v>
      </c>
      <c r="F24" t="s">
        <v>201</v>
      </c>
      <c r="G24" t="s">
        <v>201</v>
      </c>
      <c r="H24" t="s">
        <v>201</v>
      </c>
      <c r="I24" t="s">
        <v>201</v>
      </c>
      <c r="J24" t="s">
        <v>201</v>
      </c>
      <c r="K24" t="s">
        <v>201</v>
      </c>
      <c r="L24">
        <v>209288278</v>
      </c>
      <c r="M24" t="s">
        <v>201</v>
      </c>
    </row>
    <row r="25" spans="1:13" x14ac:dyDescent="0.2">
      <c r="A25" t="s">
        <v>30</v>
      </c>
      <c r="B25">
        <v>72</v>
      </c>
      <c r="C25">
        <v>54</v>
      </c>
      <c r="D25">
        <v>100</v>
      </c>
      <c r="E25" t="s">
        <v>6</v>
      </c>
      <c r="F25" t="s">
        <v>201</v>
      </c>
      <c r="G25" t="s">
        <v>201</v>
      </c>
      <c r="H25" t="s">
        <v>201</v>
      </c>
      <c r="I25" t="s">
        <v>201</v>
      </c>
      <c r="J25" t="s">
        <v>201</v>
      </c>
      <c r="K25" t="s">
        <v>201</v>
      </c>
      <c r="L25">
        <v>428697</v>
      </c>
      <c r="M25" t="s">
        <v>201</v>
      </c>
    </row>
    <row r="26" spans="1:13" x14ac:dyDescent="0.2">
      <c r="A26" t="s">
        <v>31</v>
      </c>
      <c r="B26">
        <v>39</v>
      </c>
      <c r="C26">
        <v>374</v>
      </c>
      <c r="D26">
        <v>100</v>
      </c>
      <c r="E26" t="s">
        <v>6</v>
      </c>
      <c r="F26" t="s">
        <v>201</v>
      </c>
      <c r="G26" t="s">
        <v>201</v>
      </c>
      <c r="H26" t="s">
        <v>201</v>
      </c>
      <c r="I26" t="s">
        <v>201</v>
      </c>
      <c r="J26" t="s">
        <v>201</v>
      </c>
      <c r="K26" t="s">
        <v>201</v>
      </c>
      <c r="L26">
        <v>7075991</v>
      </c>
      <c r="M26" t="s">
        <v>201</v>
      </c>
    </row>
    <row r="27" spans="1:13" x14ac:dyDescent="0.2">
      <c r="A27" t="s">
        <v>32</v>
      </c>
      <c r="B27">
        <v>146</v>
      </c>
      <c r="C27">
        <v>10028</v>
      </c>
      <c r="D27">
        <v>19</v>
      </c>
      <c r="E27" t="s">
        <v>10</v>
      </c>
      <c r="F27">
        <v>273367</v>
      </c>
      <c r="G27">
        <v>0</v>
      </c>
      <c r="H27">
        <v>7742</v>
      </c>
      <c r="I27">
        <v>4154</v>
      </c>
      <c r="J27">
        <v>11896</v>
      </c>
      <c r="K27">
        <v>4.3516591249126629E-2</v>
      </c>
      <c r="L27">
        <v>19193382</v>
      </c>
      <c r="M27">
        <v>6.1979696960129274E-4</v>
      </c>
    </row>
    <row r="28" spans="1:13" x14ac:dyDescent="0.2">
      <c r="A28" t="s">
        <v>33</v>
      </c>
      <c r="B28">
        <v>157</v>
      </c>
      <c r="C28">
        <v>16918</v>
      </c>
      <c r="D28">
        <v>8</v>
      </c>
      <c r="E28" t="s">
        <v>10</v>
      </c>
      <c r="F28">
        <v>26949</v>
      </c>
      <c r="G28">
        <v>786</v>
      </c>
      <c r="H28">
        <v>888</v>
      </c>
      <c r="I28">
        <v>0</v>
      </c>
      <c r="J28">
        <v>1674</v>
      </c>
      <c r="K28">
        <v>6.211733273961928E-2</v>
      </c>
      <c r="L28">
        <v>10864245</v>
      </c>
      <c r="M28">
        <v>1.5408341766961258E-4</v>
      </c>
    </row>
    <row r="29" spans="1:13" x14ac:dyDescent="0.2">
      <c r="A29" t="s">
        <v>34</v>
      </c>
      <c r="B29">
        <v>131</v>
      </c>
      <c r="C29">
        <v>2172</v>
      </c>
      <c r="D29">
        <v>50</v>
      </c>
      <c r="E29" t="s">
        <v>6</v>
      </c>
      <c r="F29" t="s">
        <v>201</v>
      </c>
      <c r="G29" t="s">
        <v>201</v>
      </c>
      <c r="H29" t="s">
        <v>201</v>
      </c>
      <c r="I29" t="s">
        <v>201</v>
      </c>
      <c r="J29" t="s">
        <v>201</v>
      </c>
      <c r="K29" t="s">
        <v>201</v>
      </c>
      <c r="L29">
        <v>16005373</v>
      </c>
      <c r="M29" t="s">
        <v>201</v>
      </c>
    </row>
    <row r="30" spans="1:13" x14ac:dyDescent="0.2">
      <c r="A30" t="s">
        <v>35</v>
      </c>
      <c r="B30">
        <v>166</v>
      </c>
      <c r="C30">
        <v>1597</v>
      </c>
      <c r="D30">
        <v>60</v>
      </c>
      <c r="E30" t="s">
        <v>10</v>
      </c>
      <c r="F30">
        <v>466295</v>
      </c>
      <c r="G30">
        <v>3706</v>
      </c>
      <c r="H30">
        <v>10105</v>
      </c>
      <c r="I30">
        <v>979</v>
      </c>
      <c r="J30">
        <v>14790</v>
      </c>
      <c r="K30">
        <v>3.1718118358549846E-2</v>
      </c>
      <c r="L30">
        <v>24053727</v>
      </c>
      <c r="M30">
        <v>6.1487352874670944E-4</v>
      </c>
    </row>
    <row r="31" spans="1:13" x14ac:dyDescent="0.2">
      <c r="A31" t="s">
        <v>36</v>
      </c>
      <c r="B31">
        <v>22</v>
      </c>
      <c r="C31">
        <v>126</v>
      </c>
      <c r="D31">
        <v>100</v>
      </c>
      <c r="E31" t="s">
        <v>6</v>
      </c>
      <c r="F31" t="s">
        <v>201</v>
      </c>
      <c r="G31" t="s">
        <v>201</v>
      </c>
      <c r="H31" t="s">
        <v>201</v>
      </c>
      <c r="I31" t="s">
        <v>201</v>
      </c>
      <c r="J31" t="s">
        <v>201</v>
      </c>
      <c r="K31" t="s">
        <v>201</v>
      </c>
      <c r="L31">
        <v>36708083</v>
      </c>
      <c r="M31" t="s">
        <v>201</v>
      </c>
    </row>
    <row r="32" spans="1:13" x14ac:dyDescent="0.2">
      <c r="A32" t="s">
        <v>204</v>
      </c>
      <c r="B32">
        <v>129</v>
      </c>
      <c r="C32">
        <v>1027</v>
      </c>
      <c r="D32">
        <v>93</v>
      </c>
      <c r="E32" t="s">
        <v>10</v>
      </c>
      <c r="F32" t="s">
        <v>201</v>
      </c>
      <c r="G32" t="s">
        <v>201</v>
      </c>
      <c r="H32" t="s">
        <v>201</v>
      </c>
      <c r="I32" t="s">
        <v>201</v>
      </c>
      <c r="J32" t="s">
        <v>201</v>
      </c>
      <c r="K32" t="s">
        <v>201</v>
      </c>
      <c r="L32">
        <v>546388</v>
      </c>
      <c r="M32" t="s">
        <v>201</v>
      </c>
    </row>
    <row r="33" spans="1:13" x14ac:dyDescent="0.2">
      <c r="A33" t="s">
        <v>37</v>
      </c>
      <c r="B33">
        <v>185</v>
      </c>
      <c r="C33">
        <v>15810</v>
      </c>
      <c r="D33">
        <v>14</v>
      </c>
      <c r="E33" t="s">
        <v>10</v>
      </c>
      <c r="F33">
        <v>620200</v>
      </c>
      <c r="G33">
        <v>3471</v>
      </c>
      <c r="H33">
        <v>5284</v>
      </c>
      <c r="I33">
        <v>79</v>
      </c>
      <c r="J33">
        <v>8834</v>
      </c>
      <c r="K33">
        <v>1.4243792325056433E-2</v>
      </c>
      <c r="L33">
        <v>4659080</v>
      </c>
      <c r="M33">
        <v>1.8960824883882655E-3</v>
      </c>
    </row>
    <row r="34" spans="1:13" x14ac:dyDescent="0.2">
      <c r="A34" t="s">
        <v>38</v>
      </c>
      <c r="B34">
        <v>180</v>
      </c>
      <c r="C34">
        <v>8527</v>
      </c>
      <c r="D34">
        <v>9</v>
      </c>
      <c r="E34" t="s">
        <v>10</v>
      </c>
      <c r="F34">
        <v>1269961</v>
      </c>
      <c r="G34">
        <v>10284</v>
      </c>
      <c r="H34">
        <v>10506</v>
      </c>
      <c r="I34">
        <v>9165</v>
      </c>
      <c r="J34">
        <v>29955</v>
      </c>
      <c r="K34">
        <v>2.358733850882035E-2</v>
      </c>
      <c r="L34">
        <v>14899994</v>
      </c>
      <c r="M34">
        <v>2.0104034941222123E-3</v>
      </c>
    </row>
    <row r="35" spans="1:13" x14ac:dyDescent="0.2">
      <c r="A35" t="s">
        <v>39</v>
      </c>
      <c r="B35">
        <v>57</v>
      </c>
      <c r="C35">
        <v>71</v>
      </c>
      <c r="D35">
        <v>100</v>
      </c>
      <c r="E35" t="s">
        <v>6</v>
      </c>
      <c r="F35" t="s">
        <v>201</v>
      </c>
      <c r="G35" t="s">
        <v>201</v>
      </c>
      <c r="H35" t="s">
        <v>201</v>
      </c>
      <c r="I35" t="s">
        <v>201</v>
      </c>
      <c r="J35" t="s">
        <v>201</v>
      </c>
      <c r="K35" t="s">
        <v>201</v>
      </c>
      <c r="L35">
        <v>18054726</v>
      </c>
      <c r="M35" t="s">
        <v>201</v>
      </c>
    </row>
    <row r="36" spans="1:13" x14ac:dyDescent="0.2">
      <c r="A36" t="s">
        <v>40</v>
      </c>
      <c r="B36">
        <v>78</v>
      </c>
      <c r="C36">
        <v>390</v>
      </c>
      <c r="D36">
        <v>100</v>
      </c>
      <c r="E36" t="s">
        <v>6</v>
      </c>
      <c r="F36" t="s">
        <v>201</v>
      </c>
      <c r="G36" t="s">
        <v>201</v>
      </c>
      <c r="H36" t="s">
        <v>201</v>
      </c>
      <c r="I36" t="s">
        <v>201</v>
      </c>
      <c r="J36" t="s">
        <v>201</v>
      </c>
      <c r="K36" t="s">
        <v>201</v>
      </c>
      <c r="L36">
        <v>1386395000</v>
      </c>
      <c r="M36" t="s">
        <v>201</v>
      </c>
    </row>
    <row r="37" spans="1:13" x14ac:dyDescent="0.2">
      <c r="A37" t="s">
        <v>41</v>
      </c>
      <c r="B37">
        <v>53</v>
      </c>
      <c r="C37">
        <v>581</v>
      </c>
      <c r="D37">
        <v>99</v>
      </c>
      <c r="E37" t="s">
        <v>6</v>
      </c>
      <c r="F37" t="s">
        <v>201</v>
      </c>
      <c r="G37" t="s">
        <v>201</v>
      </c>
      <c r="H37" t="s">
        <v>201</v>
      </c>
      <c r="I37" t="s">
        <v>201</v>
      </c>
      <c r="J37" t="s">
        <v>201</v>
      </c>
      <c r="K37" t="s">
        <v>201</v>
      </c>
      <c r="L37">
        <v>49065615</v>
      </c>
      <c r="M37" t="s">
        <v>201</v>
      </c>
    </row>
    <row r="38" spans="1:13" x14ac:dyDescent="0.2">
      <c r="A38" t="s">
        <v>42</v>
      </c>
      <c r="B38">
        <v>153</v>
      </c>
      <c r="C38">
        <v>2451</v>
      </c>
      <c r="D38">
        <v>78</v>
      </c>
      <c r="E38" t="s">
        <v>10</v>
      </c>
      <c r="F38" t="s">
        <v>201</v>
      </c>
      <c r="G38" t="s">
        <v>201</v>
      </c>
      <c r="H38" t="s">
        <v>201</v>
      </c>
      <c r="I38" t="s">
        <v>201</v>
      </c>
      <c r="J38" t="s">
        <v>201</v>
      </c>
      <c r="K38" t="s">
        <v>201</v>
      </c>
      <c r="L38">
        <v>813912</v>
      </c>
      <c r="M38" t="s">
        <v>201</v>
      </c>
    </row>
    <row r="39" spans="1:13" x14ac:dyDescent="0.2">
      <c r="A39" t="s">
        <v>43</v>
      </c>
      <c r="B39">
        <v>184</v>
      </c>
      <c r="C39">
        <v>15264</v>
      </c>
      <c r="D39">
        <v>17</v>
      </c>
      <c r="E39" t="s">
        <v>10</v>
      </c>
      <c r="F39">
        <v>2327986</v>
      </c>
      <c r="G39">
        <v>12439</v>
      </c>
      <c r="H39">
        <v>22862</v>
      </c>
      <c r="I39">
        <v>2173</v>
      </c>
      <c r="J39">
        <v>37474</v>
      </c>
      <c r="K39">
        <v>1.6097175842122762E-2</v>
      </c>
      <c r="L39">
        <v>81339988</v>
      </c>
      <c r="M39">
        <v>4.6070820664492843E-4</v>
      </c>
    </row>
    <row r="40" spans="1:13" x14ac:dyDescent="0.2">
      <c r="A40" t="s">
        <v>44</v>
      </c>
      <c r="B40">
        <v>177</v>
      </c>
      <c r="C40">
        <v>5469</v>
      </c>
      <c r="D40">
        <v>57</v>
      </c>
      <c r="E40" t="s">
        <v>10</v>
      </c>
      <c r="F40">
        <v>341574</v>
      </c>
      <c r="G40">
        <v>2</v>
      </c>
      <c r="H40">
        <v>6778</v>
      </c>
      <c r="I40">
        <v>0</v>
      </c>
      <c r="J40">
        <v>6780</v>
      </c>
      <c r="K40">
        <v>1.9849285952677896E-2</v>
      </c>
      <c r="L40">
        <v>5260750</v>
      </c>
      <c r="M40">
        <v>1.2887896212517226E-3</v>
      </c>
    </row>
    <row r="41" spans="1:13" x14ac:dyDescent="0.2">
      <c r="A41" t="s">
        <v>45</v>
      </c>
      <c r="B41">
        <v>62</v>
      </c>
      <c r="C41">
        <v>182</v>
      </c>
      <c r="D41">
        <v>100</v>
      </c>
      <c r="E41" t="s">
        <v>6</v>
      </c>
      <c r="F41" t="s">
        <v>201</v>
      </c>
      <c r="G41" t="s">
        <v>201</v>
      </c>
      <c r="H41" t="s">
        <v>201</v>
      </c>
      <c r="I41" t="s">
        <v>201</v>
      </c>
      <c r="J41" t="s">
        <v>201</v>
      </c>
      <c r="K41" t="s">
        <v>201</v>
      </c>
      <c r="L41">
        <v>4905769</v>
      </c>
      <c r="M41" t="s">
        <v>201</v>
      </c>
    </row>
    <row r="42" spans="1:13" x14ac:dyDescent="0.2">
      <c r="A42" t="s">
        <v>46</v>
      </c>
      <c r="B42">
        <v>142</v>
      </c>
      <c r="C42">
        <v>2590</v>
      </c>
      <c r="D42">
        <v>64</v>
      </c>
      <c r="E42" t="s">
        <v>10</v>
      </c>
      <c r="F42">
        <v>321882</v>
      </c>
      <c r="G42">
        <v>221</v>
      </c>
      <c r="H42">
        <v>10325</v>
      </c>
      <c r="I42">
        <v>430</v>
      </c>
      <c r="J42">
        <v>10976</v>
      </c>
      <c r="K42">
        <v>3.4099452594429015E-2</v>
      </c>
      <c r="L42">
        <v>24294750</v>
      </c>
      <c r="M42">
        <v>4.5178485063645439E-4</v>
      </c>
    </row>
    <row r="43" spans="1:13" x14ac:dyDescent="0.2">
      <c r="A43" t="s">
        <v>47</v>
      </c>
      <c r="B43">
        <v>43</v>
      </c>
      <c r="C43">
        <v>303</v>
      </c>
      <c r="D43">
        <v>100</v>
      </c>
      <c r="E43" t="s">
        <v>6</v>
      </c>
      <c r="F43" t="s">
        <v>201</v>
      </c>
      <c r="G43" t="s">
        <v>201</v>
      </c>
      <c r="H43" t="s">
        <v>201</v>
      </c>
      <c r="I43" t="s">
        <v>201</v>
      </c>
      <c r="J43" t="s">
        <v>201</v>
      </c>
      <c r="K43" t="s">
        <v>201</v>
      </c>
      <c r="L43">
        <v>4125700</v>
      </c>
      <c r="M43" t="s">
        <v>201</v>
      </c>
    </row>
    <row r="44" spans="1:13" x14ac:dyDescent="0.2">
      <c r="A44" t="s">
        <v>48</v>
      </c>
      <c r="B44">
        <v>45</v>
      </c>
      <c r="C44">
        <v>130</v>
      </c>
      <c r="D44">
        <v>100</v>
      </c>
      <c r="E44" t="s">
        <v>6</v>
      </c>
      <c r="F44" t="s">
        <v>201</v>
      </c>
      <c r="G44" t="s">
        <v>201</v>
      </c>
      <c r="H44" t="s">
        <v>201</v>
      </c>
      <c r="I44" t="s">
        <v>201</v>
      </c>
      <c r="J44" t="s">
        <v>201</v>
      </c>
      <c r="K44" t="s">
        <v>201</v>
      </c>
      <c r="L44">
        <v>1179551</v>
      </c>
      <c r="M44" t="s">
        <v>201</v>
      </c>
    </row>
    <row r="45" spans="1:13" x14ac:dyDescent="0.2">
      <c r="A45" t="s">
        <v>49</v>
      </c>
      <c r="B45">
        <v>27</v>
      </c>
      <c r="C45">
        <v>25</v>
      </c>
      <c r="D45">
        <v>100</v>
      </c>
      <c r="E45" t="s">
        <v>6</v>
      </c>
      <c r="F45" t="s">
        <v>201</v>
      </c>
      <c r="G45" t="s">
        <v>201</v>
      </c>
      <c r="H45" t="s">
        <v>201</v>
      </c>
      <c r="I45" t="s">
        <v>201</v>
      </c>
      <c r="J45" t="s">
        <v>201</v>
      </c>
      <c r="K45" t="s">
        <v>201</v>
      </c>
      <c r="L45">
        <v>10591323</v>
      </c>
      <c r="M45" t="s">
        <v>201</v>
      </c>
    </row>
    <row r="46" spans="1:13" x14ac:dyDescent="0.2">
      <c r="A46" t="s">
        <v>50</v>
      </c>
      <c r="B46">
        <v>3</v>
      </c>
      <c r="C46">
        <v>109</v>
      </c>
      <c r="D46">
        <v>100</v>
      </c>
      <c r="E46" t="s">
        <v>51</v>
      </c>
      <c r="F46" t="s">
        <v>201</v>
      </c>
      <c r="G46" t="s">
        <v>201</v>
      </c>
      <c r="H46" t="s">
        <v>201</v>
      </c>
      <c r="I46" t="s">
        <v>201</v>
      </c>
      <c r="J46" t="s">
        <v>201</v>
      </c>
      <c r="K46" t="s">
        <v>201</v>
      </c>
      <c r="L46">
        <v>5769603</v>
      </c>
      <c r="M46" t="s">
        <v>201</v>
      </c>
    </row>
    <row r="47" spans="1:13" x14ac:dyDescent="0.2">
      <c r="A47" t="s">
        <v>52</v>
      </c>
      <c r="B47">
        <v>171</v>
      </c>
      <c r="C47">
        <v>6380</v>
      </c>
      <c r="D47">
        <v>52</v>
      </c>
      <c r="E47" t="s">
        <v>6</v>
      </c>
      <c r="F47">
        <v>21679</v>
      </c>
      <c r="G47">
        <v>852</v>
      </c>
      <c r="H47">
        <v>947</v>
      </c>
      <c r="I47">
        <v>934</v>
      </c>
      <c r="J47">
        <v>2733</v>
      </c>
      <c r="K47">
        <v>0.12606670049356519</v>
      </c>
      <c r="L47">
        <v>956985</v>
      </c>
      <c r="M47">
        <v>2.8558441354880173E-3</v>
      </c>
    </row>
    <row r="48" spans="1:13" x14ac:dyDescent="0.2">
      <c r="A48" t="s">
        <v>53</v>
      </c>
      <c r="B48">
        <v>101</v>
      </c>
      <c r="C48">
        <v>471</v>
      </c>
      <c r="D48">
        <v>100</v>
      </c>
      <c r="E48" t="s">
        <v>6</v>
      </c>
      <c r="F48" t="s">
        <v>201</v>
      </c>
      <c r="G48" t="s">
        <v>201</v>
      </c>
      <c r="H48" t="s">
        <v>201</v>
      </c>
      <c r="I48" t="s">
        <v>201</v>
      </c>
      <c r="J48" t="s">
        <v>201</v>
      </c>
      <c r="K48" t="s">
        <v>201</v>
      </c>
      <c r="L48">
        <v>73925</v>
      </c>
      <c r="M48" t="s">
        <v>201</v>
      </c>
    </row>
    <row r="49" spans="1:13" x14ac:dyDescent="0.2">
      <c r="A49" t="s">
        <v>54</v>
      </c>
      <c r="B49">
        <v>103</v>
      </c>
      <c r="C49">
        <v>267</v>
      </c>
      <c r="D49">
        <v>100</v>
      </c>
      <c r="E49" t="s">
        <v>6</v>
      </c>
      <c r="F49" t="s">
        <v>201</v>
      </c>
      <c r="G49" t="s">
        <v>201</v>
      </c>
      <c r="H49" t="s">
        <v>201</v>
      </c>
      <c r="I49" t="s">
        <v>201</v>
      </c>
      <c r="J49" t="s">
        <v>201</v>
      </c>
      <c r="K49" t="s">
        <v>201</v>
      </c>
      <c r="L49">
        <v>10766998</v>
      </c>
      <c r="M49" t="s">
        <v>201</v>
      </c>
    </row>
    <row r="50" spans="1:13" x14ac:dyDescent="0.2">
      <c r="A50" t="s">
        <v>55</v>
      </c>
      <c r="B50">
        <v>114</v>
      </c>
      <c r="C50">
        <v>606</v>
      </c>
      <c r="D50">
        <v>100</v>
      </c>
      <c r="E50" t="s">
        <v>6</v>
      </c>
      <c r="F50" t="s">
        <v>201</v>
      </c>
      <c r="G50" t="s">
        <v>201</v>
      </c>
      <c r="H50" t="s">
        <v>201</v>
      </c>
      <c r="I50" t="s">
        <v>201</v>
      </c>
      <c r="J50" t="s">
        <v>201</v>
      </c>
      <c r="K50" t="s">
        <v>201</v>
      </c>
      <c r="L50">
        <v>16624858</v>
      </c>
      <c r="M50" t="s">
        <v>201</v>
      </c>
    </row>
    <row r="51" spans="1:13" x14ac:dyDescent="0.2">
      <c r="A51" t="s">
        <v>56</v>
      </c>
      <c r="B51">
        <v>122</v>
      </c>
      <c r="C51">
        <v>245</v>
      </c>
      <c r="D51">
        <v>100</v>
      </c>
      <c r="E51" t="s">
        <v>6</v>
      </c>
      <c r="F51">
        <v>982446</v>
      </c>
      <c r="G51">
        <v>26605</v>
      </c>
      <c r="H51">
        <v>32218</v>
      </c>
      <c r="I51">
        <v>36601</v>
      </c>
      <c r="J51">
        <v>95424</v>
      </c>
      <c r="K51">
        <v>9.7129002510061624E-2</v>
      </c>
      <c r="L51">
        <v>97553151</v>
      </c>
      <c r="M51">
        <v>9.7817445179192619E-4</v>
      </c>
    </row>
    <row r="52" spans="1:13" x14ac:dyDescent="0.2">
      <c r="A52" t="s">
        <v>57</v>
      </c>
      <c r="B52">
        <v>95</v>
      </c>
      <c r="C52">
        <v>502</v>
      </c>
      <c r="D52">
        <v>99</v>
      </c>
      <c r="E52" t="s">
        <v>6</v>
      </c>
      <c r="F52" t="s">
        <v>201</v>
      </c>
      <c r="G52" t="s">
        <v>201</v>
      </c>
      <c r="H52" t="s">
        <v>201</v>
      </c>
      <c r="I52" t="s">
        <v>201</v>
      </c>
      <c r="J52" t="s">
        <v>201</v>
      </c>
      <c r="K52" t="s">
        <v>201</v>
      </c>
      <c r="L52">
        <v>6377853</v>
      </c>
      <c r="M52" t="s">
        <v>201</v>
      </c>
    </row>
    <row r="53" spans="1:13" x14ac:dyDescent="0.2">
      <c r="A53" t="s">
        <v>58</v>
      </c>
      <c r="B53">
        <v>178</v>
      </c>
      <c r="C53">
        <v>1085</v>
      </c>
      <c r="D53">
        <v>68</v>
      </c>
      <c r="E53" t="s">
        <v>10</v>
      </c>
      <c r="F53">
        <v>26987</v>
      </c>
      <c r="G53">
        <v>0</v>
      </c>
      <c r="H53">
        <v>706</v>
      </c>
      <c r="I53">
        <v>0</v>
      </c>
      <c r="J53">
        <v>706</v>
      </c>
      <c r="K53">
        <v>2.6160744061955756E-2</v>
      </c>
      <c r="L53">
        <v>1267689</v>
      </c>
      <c r="M53">
        <v>5.5691892885400131E-4</v>
      </c>
    </row>
    <row r="54" spans="1:13" x14ac:dyDescent="0.2">
      <c r="A54" t="s">
        <v>59</v>
      </c>
      <c r="B54">
        <v>189</v>
      </c>
      <c r="C54">
        <v>0</v>
      </c>
      <c r="D54">
        <v>47</v>
      </c>
      <c r="E54" t="s">
        <v>10</v>
      </c>
      <c r="F54">
        <v>122098</v>
      </c>
      <c r="G54">
        <v>4349</v>
      </c>
      <c r="H54">
        <v>4775</v>
      </c>
      <c r="I54">
        <v>3154</v>
      </c>
      <c r="J54">
        <v>12278</v>
      </c>
      <c r="K54">
        <v>0.10055856770790676</v>
      </c>
      <c r="L54">
        <v>0</v>
      </c>
      <c r="M54" t="s">
        <v>201</v>
      </c>
    </row>
    <row r="55" spans="1:13" x14ac:dyDescent="0.2">
      <c r="A55" t="s">
        <v>60</v>
      </c>
      <c r="B55">
        <v>12</v>
      </c>
      <c r="C55">
        <v>173</v>
      </c>
      <c r="D55">
        <v>100</v>
      </c>
      <c r="E55" t="s">
        <v>6</v>
      </c>
      <c r="F55" t="s">
        <v>201</v>
      </c>
      <c r="G55" t="s">
        <v>201</v>
      </c>
      <c r="H55" t="s">
        <v>201</v>
      </c>
      <c r="I55" t="s">
        <v>201</v>
      </c>
      <c r="J55" t="s">
        <v>201</v>
      </c>
      <c r="K55" t="s">
        <v>201</v>
      </c>
      <c r="L55">
        <v>1315480</v>
      </c>
      <c r="M55" t="s">
        <v>201</v>
      </c>
    </row>
    <row r="56" spans="1:13" x14ac:dyDescent="0.2">
      <c r="A56" t="s">
        <v>61</v>
      </c>
      <c r="B56">
        <v>159</v>
      </c>
      <c r="C56">
        <v>1239</v>
      </c>
      <c r="D56">
        <v>43</v>
      </c>
      <c r="E56" t="s">
        <v>10</v>
      </c>
      <c r="F56">
        <v>1127582</v>
      </c>
      <c r="G56">
        <v>22959</v>
      </c>
      <c r="H56">
        <v>27154</v>
      </c>
      <c r="I56">
        <v>14838</v>
      </c>
      <c r="J56">
        <v>64951</v>
      </c>
      <c r="K56">
        <v>5.7602019187961498E-2</v>
      </c>
      <c r="L56">
        <v>104957438</v>
      </c>
      <c r="M56">
        <v>6.1883179732340643E-4</v>
      </c>
    </row>
    <row r="57" spans="1:13" x14ac:dyDescent="0.2">
      <c r="A57" t="s">
        <v>62</v>
      </c>
      <c r="B57">
        <v>97</v>
      </c>
      <c r="C57">
        <v>1478</v>
      </c>
      <c r="D57">
        <v>99</v>
      </c>
      <c r="E57" t="s">
        <v>6</v>
      </c>
      <c r="F57" t="s">
        <v>201</v>
      </c>
      <c r="G57" t="s">
        <v>201</v>
      </c>
      <c r="H57" t="s">
        <v>201</v>
      </c>
      <c r="I57" t="s">
        <v>201</v>
      </c>
      <c r="J57" t="s">
        <v>201</v>
      </c>
      <c r="K57" t="s">
        <v>201</v>
      </c>
      <c r="L57">
        <v>905502</v>
      </c>
      <c r="M57" t="s">
        <v>201</v>
      </c>
    </row>
    <row r="58" spans="1:13" x14ac:dyDescent="0.2">
      <c r="A58" t="s">
        <v>63</v>
      </c>
      <c r="B58">
        <v>13</v>
      </c>
      <c r="C58">
        <v>28</v>
      </c>
      <c r="D58">
        <v>100</v>
      </c>
      <c r="E58" t="s">
        <v>6</v>
      </c>
      <c r="F58" t="s">
        <v>201</v>
      </c>
      <c r="G58" t="s">
        <v>201</v>
      </c>
      <c r="H58" t="s">
        <v>201</v>
      </c>
      <c r="I58" t="s">
        <v>201</v>
      </c>
      <c r="J58" t="s">
        <v>201</v>
      </c>
      <c r="K58" t="s">
        <v>201</v>
      </c>
      <c r="L58">
        <v>5511303</v>
      </c>
      <c r="M58" t="s">
        <v>201</v>
      </c>
    </row>
    <row r="59" spans="1:13" x14ac:dyDescent="0.2">
      <c r="A59" t="s">
        <v>64</v>
      </c>
      <c r="B59">
        <v>29</v>
      </c>
      <c r="C59">
        <v>6</v>
      </c>
      <c r="D59">
        <v>100</v>
      </c>
      <c r="E59" t="s">
        <v>6</v>
      </c>
      <c r="F59" t="s">
        <v>201</v>
      </c>
      <c r="G59" t="s">
        <v>201</v>
      </c>
      <c r="H59" t="s">
        <v>201</v>
      </c>
      <c r="I59" t="s">
        <v>201</v>
      </c>
      <c r="J59" t="s">
        <v>201</v>
      </c>
      <c r="K59" t="s">
        <v>201</v>
      </c>
      <c r="L59">
        <v>67118648</v>
      </c>
      <c r="M59" t="s">
        <v>201</v>
      </c>
    </row>
    <row r="60" spans="1:13" x14ac:dyDescent="0.2">
      <c r="A60" t="s">
        <v>65</v>
      </c>
      <c r="B60">
        <v>164</v>
      </c>
      <c r="C60">
        <v>1102</v>
      </c>
      <c r="D60">
        <v>91</v>
      </c>
      <c r="E60" t="s">
        <v>10</v>
      </c>
      <c r="F60">
        <v>264715</v>
      </c>
      <c r="G60">
        <v>6</v>
      </c>
      <c r="H60">
        <v>5402</v>
      </c>
      <c r="I60">
        <v>0</v>
      </c>
      <c r="J60">
        <v>5408</v>
      </c>
      <c r="K60">
        <v>2.0429518538805886E-2</v>
      </c>
      <c r="L60">
        <v>2025137</v>
      </c>
      <c r="M60">
        <v>2.6704366173745282E-3</v>
      </c>
    </row>
    <row r="61" spans="1:13" x14ac:dyDescent="0.2">
      <c r="A61" t="s">
        <v>66</v>
      </c>
      <c r="B61">
        <v>145</v>
      </c>
      <c r="C61">
        <v>3569</v>
      </c>
      <c r="D61">
        <v>48</v>
      </c>
      <c r="E61" t="s">
        <v>10</v>
      </c>
      <c r="F61">
        <v>10797</v>
      </c>
      <c r="G61">
        <v>316</v>
      </c>
      <c r="H61">
        <v>474</v>
      </c>
      <c r="I61">
        <v>173</v>
      </c>
      <c r="J61">
        <v>963</v>
      </c>
      <c r="K61">
        <v>8.9191442067240903E-2</v>
      </c>
      <c r="L61">
        <v>2100568</v>
      </c>
      <c r="M61">
        <v>4.584474294571754E-4</v>
      </c>
    </row>
    <row r="62" spans="1:13" x14ac:dyDescent="0.2">
      <c r="A62" t="s">
        <v>67</v>
      </c>
      <c r="B62">
        <v>16</v>
      </c>
      <c r="C62">
        <v>354</v>
      </c>
      <c r="D62">
        <v>100</v>
      </c>
      <c r="E62" t="s">
        <v>6</v>
      </c>
      <c r="F62" t="s">
        <v>201</v>
      </c>
      <c r="G62" t="s">
        <v>201</v>
      </c>
      <c r="H62" t="s">
        <v>201</v>
      </c>
      <c r="I62" t="s">
        <v>201</v>
      </c>
      <c r="J62" t="s">
        <v>201</v>
      </c>
      <c r="K62" t="s">
        <v>201</v>
      </c>
      <c r="L62">
        <v>3717100</v>
      </c>
      <c r="M62" t="s">
        <v>201</v>
      </c>
    </row>
    <row r="63" spans="1:13" x14ac:dyDescent="0.2">
      <c r="A63" t="s">
        <v>68</v>
      </c>
      <c r="B63">
        <v>17</v>
      </c>
      <c r="C63">
        <v>41</v>
      </c>
      <c r="D63">
        <v>100</v>
      </c>
      <c r="E63" t="s">
        <v>6</v>
      </c>
      <c r="F63" t="s">
        <v>201</v>
      </c>
      <c r="G63" t="s">
        <v>201</v>
      </c>
      <c r="H63" t="s">
        <v>201</v>
      </c>
      <c r="I63" t="s">
        <v>201</v>
      </c>
      <c r="J63" t="s">
        <v>201</v>
      </c>
      <c r="K63" t="s">
        <v>201</v>
      </c>
      <c r="L63">
        <v>82695000</v>
      </c>
      <c r="M63" t="s">
        <v>201</v>
      </c>
    </row>
    <row r="64" spans="1:13" x14ac:dyDescent="0.2">
      <c r="A64" t="s">
        <v>69</v>
      </c>
      <c r="B64">
        <v>108</v>
      </c>
      <c r="C64">
        <v>1266</v>
      </c>
      <c r="D64">
        <v>79</v>
      </c>
      <c r="E64" t="s">
        <v>10</v>
      </c>
      <c r="F64">
        <v>238761</v>
      </c>
      <c r="G64">
        <v>229</v>
      </c>
      <c r="H64">
        <v>7644</v>
      </c>
      <c r="I64">
        <v>606</v>
      </c>
      <c r="J64">
        <v>8479</v>
      </c>
      <c r="K64">
        <v>3.5512499947646388E-2</v>
      </c>
      <c r="L64">
        <v>28833629</v>
      </c>
      <c r="M64">
        <v>2.9406634870692136E-4</v>
      </c>
    </row>
    <row r="65" spans="1:13" x14ac:dyDescent="0.2">
      <c r="A65" t="s">
        <v>70</v>
      </c>
      <c r="B65">
        <v>61</v>
      </c>
      <c r="C65">
        <v>70</v>
      </c>
      <c r="D65">
        <v>100</v>
      </c>
      <c r="E65" t="s">
        <v>6</v>
      </c>
      <c r="F65" t="s">
        <v>201</v>
      </c>
      <c r="G65" t="s">
        <v>201</v>
      </c>
      <c r="H65" t="s">
        <v>201</v>
      </c>
      <c r="I65" t="s">
        <v>201</v>
      </c>
      <c r="J65" t="s">
        <v>201</v>
      </c>
      <c r="K65" t="s">
        <v>201</v>
      </c>
      <c r="L65">
        <v>10760421</v>
      </c>
      <c r="M65" t="s">
        <v>201</v>
      </c>
    </row>
    <row r="66" spans="1:13" x14ac:dyDescent="0.2">
      <c r="A66" t="s">
        <v>71</v>
      </c>
      <c r="B66">
        <v>138</v>
      </c>
      <c r="C66">
        <v>191</v>
      </c>
      <c r="D66">
        <v>92</v>
      </c>
      <c r="E66" t="s">
        <v>6</v>
      </c>
      <c r="F66" t="s">
        <v>201</v>
      </c>
      <c r="G66" t="s">
        <v>201</v>
      </c>
      <c r="H66" t="s">
        <v>201</v>
      </c>
      <c r="I66" t="s">
        <v>201</v>
      </c>
      <c r="J66" t="s">
        <v>201</v>
      </c>
      <c r="K66" t="s">
        <v>201</v>
      </c>
      <c r="L66">
        <v>107825</v>
      </c>
      <c r="M66" t="s">
        <v>201</v>
      </c>
    </row>
    <row r="67" spans="1:13" x14ac:dyDescent="0.2">
      <c r="A67" t="s">
        <v>72</v>
      </c>
      <c r="B67">
        <v>88</v>
      </c>
      <c r="C67">
        <v>478</v>
      </c>
      <c r="D67">
        <v>92</v>
      </c>
      <c r="E67" t="s">
        <v>6</v>
      </c>
      <c r="F67" t="s">
        <v>201</v>
      </c>
      <c r="G67" t="s">
        <v>201</v>
      </c>
      <c r="H67" t="s">
        <v>201</v>
      </c>
      <c r="I67" t="s">
        <v>201</v>
      </c>
      <c r="J67" t="s">
        <v>201</v>
      </c>
      <c r="K67" t="s">
        <v>201</v>
      </c>
      <c r="L67">
        <v>16913503</v>
      </c>
      <c r="M67" t="s">
        <v>201</v>
      </c>
    </row>
    <row r="68" spans="1:13" x14ac:dyDescent="0.2">
      <c r="A68" t="s">
        <v>73</v>
      </c>
      <c r="B68">
        <v>163</v>
      </c>
      <c r="C68">
        <v>6636</v>
      </c>
      <c r="D68">
        <v>34</v>
      </c>
      <c r="E68" t="s">
        <v>10</v>
      </c>
      <c r="F68">
        <v>244871</v>
      </c>
      <c r="G68">
        <v>467</v>
      </c>
      <c r="H68">
        <v>5204</v>
      </c>
      <c r="I68">
        <v>2</v>
      </c>
      <c r="J68">
        <v>5673</v>
      </c>
      <c r="K68">
        <v>2.3167300333645061E-2</v>
      </c>
      <c r="L68">
        <v>12717176</v>
      </c>
      <c r="M68">
        <v>4.460896035409119E-4</v>
      </c>
    </row>
    <row r="69" spans="1:13" x14ac:dyDescent="0.2">
      <c r="A69" t="s">
        <v>74</v>
      </c>
      <c r="B69">
        <v>172</v>
      </c>
      <c r="C69">
        <v>1520</v>
      </c>
      <c r="D69">
        <v>15</v>
      </c>
      <c r="E69" t="s">
        <v>10</v>
      </c>
      <c r="F69">
        <v>33974</v>
      </c>
      <c r="G69">
        <v>906</v>
      </c>
      <c r="H69">
        <v>1493</v>
      </c>
      <c r="I69">
        <v>124</v>
      </c>
      <c r="J69">
        <v>2523</v>
      </c>
      <c r="K69">
        <v>7.4262671454641785E-2</v>
      </c>
      <c r="L69">
        <v>1861283</v>
      </c>
      <c r="M69">
        <v>1.3555165979595794E-3</v>
      </c>
    </row>
    <row r="70" spans="1:13" x14ac:dyDescent="0.2">
      <c r="A70" t="s">
        <v>75</v>
      </c>
      <c r="B70">
        <v>124</v>
      </c>
      <c r="C70">
        <v>405</v>
      </c>
      <c r="D70">
        <v>84</v>
      </c>
      <c r="E70" t="s">
        <v>6</v>
      </c>
      <c r="F70" t="s">
        <v>201</v>
      </c>
      <c r="G70" t="s">
        <v>201</v>
      </c>
      <c r="H70" t="s">
        <v>201</v>
      </c>
      <c r="I70" t="s">
        <v>201</v>
      </c>
      <c r="J70" t="s">
        <v>201</v>
      </c>
      <c r="K70" t="s">
        <v>201</v>
      </c>
      <c r="L70">
        <v>777859</v>
      </c>
      <c r="M70" t="s">
        <v>201</v>
      </c>
    </row>
    <row r="71" spans="1:13" x14ac:dyDescent="0.2">
      <c r="A71" t="s">
        <v>76</v>
      </c>
      <c r="B71">
        <v>181</v>
      </c>
      <c r="C71">
        <v>3709</v>
      </c>
      <c r="D71">
        <v>39</v>
      </c>
      <c r="E71" t="s">
        <v>6</v>
      </c>
      <c r="F71" t="s">
        <v>201</v>
      </c>
      <c r="G71" t="s">
        <v>201</v>
      </c>
      <c r="H71" t="s">
        <v>201</v>
      </c>
      <c r="I71" t="s">
        <v>201</v>
      </c>
      <c r="J71" t="s">
        <v>201</v>
      </c>
      <c r="K71" t="s">
        <v>201</v>
      </c>
      <c r="L71">
        <v>10981229</v>
      </c>
      <c r="M71" t="s">
        <v>201</v>
      </c>
    </row>
    <row r="72" spans="1:13" x14ac:dyDescent="0.2">
      <c r="A72" t="s">
        <v>77</v>
      </c>
      <c r="B72">
        <v>105</v>
      </c>
      <c r="C72">
        <v>775</v>
      </c>
      <c r="D72">
        <v>88</v>
      </c>
      <c r="E72" t="s">
        <v>6</v>
      </c>
      <c r="F72" t="s">
        <v>201</v>
      </c>
      <c r="G72" t="s">
        <v>201</v>
      </c>
      <c r="H72" t="s">
        <v>201</v>
      </c>
      <c r="I72" t="s">
        <v>201</v>
      </c>
      <c r="J72" t="s">
        <v>201</v>
      </c>
      <c r="K72" t="s">
        <v>201</v>
      </c>
      <c r="L72">
        <v>9265067</v>
      </c>
      <c r="M72" t="s">
        <v>201</v>
      </c>
    </row>
    <row r="73" spans="1:13" x14ac:dyDescent="0.2">
      <c r="A73" t="s">
        <v>78</v>
      </c>
      <c r="B73">
        <v>4</v>
      </c>
      <c r="C73">
        <v>1</v>
      </c>
      <c r="D73">
        <v>100</v>
      </c>
      <c r="E73" t="s">
        <v>51</v>
      </c>
      <c r="F73" t="s">
        <v>201</v>
      </c>
      <c r="G73" t="s">
        <v>201</v>
      </c>
      <c r="H73" t="s">
        <v>201</v>
      </c>
      <c r="I73" t="s">
        <v>201</v>
      </c>
      <c r="J73" t="s">
        <v>201</v>
      </c>
      <c r="K73" t="s">
        <v>201</v>
      </c>
      <c r="L73">
        <v>7391700</v>
      </c>
      <c r="M73" t="s">
        <v>201</v>
      </c>
    </row>
    <row r="74" spans="1:13" x14ac:dyDescent="0.2">
      <c r="A74" t="s">
        <v>79</v>
      </c>
      <c r="B74">
        <v>41</v>
      </c>
      <c r="C74">
        <v>94</v>
      </c>
      <c r="D74">
        <v>100</v>
      </c>
      <c r="E74" t="s">
        <v>6</v>
      </c>
      <c r="F74" t="s">
        <v>201</v>
      </c>
      <c r="G74" t="s">
        <v>201</v>
      </c>
      <c r="H74" t="s">
        <v>201</v>
      </c>
      <c r="I74" t="s">
        <v>201</v>
      </c>
      <c r="J74" t="s">
        <v>201</v>
      </c>
      <c r="K74" t="s">
        <v>201</v>
      </c>
      <c r="L74">
        <v>9781127</v>
      </c>
      <c r="M74" t="s">
        <v>201</v>
      </c>
    </row>
    <row r="75" spans="1:13" x14ac:dyDescent="0.2">
      <c r="A75" t="s">
        <v>80</v>
      </c>
      <c r="B75">
        <v>20</v>
      </c>
      <c r="C75">
        <v>11</v>
      </c>
      <c r="D75">
        <v>100</v>
      </c>
      <c r="E75" t="s">
        <v>6</v>
      </c>
      <c r="F75" t="s">
        <v>201</v>
      </c>
      <c r="G75" t="s">
        <v>201</v>
      </c>
      <c r="H75" t="s">
        <v>201</v>
      </c>
      <c r="I75" t="s">
        <v>201</v>
      </c>
      <c r="J75" t="s">
        <v>201</v>
      </c>
      <c r="K75" t="s">
        <v>201</v>
      </c>
      <c r="L75">
        <v>341284</v>
      </c>
      <c r="M75" t="s">
        <v>201</v>
      </c>
    </row>
    <row r="76" spans="1:13" x14ac:dyDescent="0.2">
      <c r="A76" t="s">
        <v>81</v>
      </c>
      <c r="B76">
        <v>130</v>
      </c>
      <c r="C76">
        <v>109</v>
      </c>
      <c r="D76">
        <v>85</v>
      </c>
      <c r="E76" t="s">
        <v>6</v>
      </c>
      <c r="F76" t="s">
        <v>201</v>
      </c>
      <c r="G76" t="s">
        <v>201</v>
      </c>
      <c r="H76" t="s">
        <v>201</v>
      </c>
      <c r="I76" t="s">
        <v>201</v>
      </c>
      <c r="J76" t="s">
        <v>201</v>
      </c>
      <c r="K76" t="s">
        <v>201</v>
      </c>
      <c r="L76">
        <v>1339180127</v>
      </c>
      <c r="M76" t="s">
        <v>201</v>
      </c>
    </row>
    <row r="77" spans="1:13" x14ac:dyDescent="0.2">
      <c r="A77" t="s">
        <v>82</v>
      </c>
      <c r="B77">
        <v>91</v>
      </c>
      <c r="C77">
        <v>357</v>
      </c>
      <c r="D77">
        <v>98</v>
      </c>
      <c r="E77" t="s">
        <v>6</v>
      </c>
      <c r="F77" t="s">
        <v>201</v>
      </c>
      <c r="G77" t="s">
        <v>201</v>
      </c>
      <c r="H77" t="s">
        <v>201</v>
      </c>
      <c r="I77" t="s">
        <v>201</v>
      </c>
      <c r="J77" t="s">
        <v>201</v>
      </c>
      <c r="K77" t="s">
        <v>201</v>
      </c>
      <c r="L77">
        <v>263991379</v>
      </c>
      <c r="M77" t="s">
        <v>201</v>
      </c>
    </row>
    <row r="78" spans="1:13" x14ac:dyDescent="0.2">
      <c r="A78" t="s">
        <v>83</v>
      </c>
      <c r="B78">
        <v>120</v>
      </c>
      <c r="C78">
        <v>829</v>
      </c>
      <c r="D78">
        <v>100</v>
      </c>
      <c r="E78" t="s">
        <v>6</v>
      </c>
      <c r="F78" t="s">
        <v>201</v>
      </c>
      <c r="G78" t="s">
        <v>201</v>
      </c>
      <c r="H78" t="s">
        <v>201</v>
      </c>
      <c r="I78" t="s">
        <v>201</v>
      </c>
      <c r="J78" t="s">
        <v>201</v>
      </c>
      <c r="K78" t="s">
        <v>201</v>
      </c>
      <c r="L78">
        <v>81162788</v>
      </c>
      <c r="M78" t="s">
        <v>201</v>
      </c>
    </row>
    <row r="79" spans="1:13" x14ac:dyDescent="0.2">
      <c r="A79" t="s">
        <v>84</v>
      </c>
      <c r="B79">
        <v>165</v>
      </c>
      <c r="C79">
        <v>469</v>
      </c>
      <c r="D79">
        <v>100</v>
      </c>
      <c r="E79" t="s">
        <v>6</v>
      </c>
      <c r="F79" t="s">
        <v>201</v>
      </c>
      <c r="G79" t="s">
        <v>201</v>
      </c>
      <c r="H79" t="s">
        <v>201</v>
      </c>
      <c r="I79" t="s">
        <v>201</v>
      </c>
      <c r="J79" t="s">
        <v>201</v>
      </c>
      <c r="K79" t="s">
        <v>201</v>
      </c>
      <c r="L79">
        <v>38274618</v>
      </c>
      <c r="M79" t="s">
        <v>201</v>
      </c>
    </row>
    <row r="80" spans="1:13" x14ac:dyDescent="0.2">
      <c r="A80" t="s">
        <v>85</v>
      </c>
      <c r="B80">
        <v>18</v>
      </c>
      <c r="C80">
        <v>62</v>
      </c>
      <c r="D80">
        <v>100</v>
      </c>
      <c r="E80" t="s">
        <v>6</v>
      </c>
      <c r="F80" t="s">
        <v>201</v>
      </c>
      <c r="G80" t="s">
        <v>201</v>
      </c>
      <c r="H80" t="s">
        <v>201</v>
      </c>
      <c r="I80" t="s">
        <v>201</v>
      </c>
      <c r="J80" t="s">
        <v>201</v>
      </c>
      <c r="K80" t="s">
        <v>201</v>
      </c>
      <c r="L80">
        <v>4813608</v>
      </c>
      <c r="M80" t="s">
        <v>201</v>
      </c>
    </row>
    <row r="81" spans="1:13" x14ac:dyDescent="0.2">
      <c r="A81" t="s">
        <v>86</v>
      </c>
      <c r="B81">
        <v>52</v>
      </c>
      <c r="C81">
        <v>15</v>
      </c>
      <c r="D81">
        <v>100</v>
      </c>
      <c r="E81" t="s">
        <v>6</v>
      </c>
      <c r="F81" t="s">
        <v>201</v>
      </c>
      <c r="G81" t="s">
        <v>201</v>
      </c>
      <c r="H81" t="s">
        <v>201</v>
      </c>
      <c r="I81" t="s">
        <v>201</v>
      </c>
      <c r="J81" t="s">
        <v>201</v>
      </c>
      <c r="K81" t="s">
        <v>201</v>
      </c>
      <c r="L81">
        <v>8712400</v>
      </c>
      <c r="M81" t="s">
        <v>201</v>
      </c>
    </row>
    <row r="82" spans="1:13" x14ac:dyDescent="0.2">
      <c r="A82" t="s">
        <v>87</v>
      </c>
      <c r="B82">
        <v>50</v>
      </c>
      <c r="C82">
        <v>158</v>
      </c>
      <c r="D82">
        <v>100</v>
      </c>
      <c r="E82" t="s">
        <v>6</v>
      </c>
      <c r="F82" t="s">
        <v>201</v>
      </c>
      <c r="G82" t="s">
        <v>201</v>
      </c>
      <c r="H82" t="s">
        <v>201</v>
      </c>
      <c r="I82" t="s">
        <v>201</v>
      </c>
      <c r="J82" t="s">
        <v>201</v>
      </c>
      <c r="K82" t="s">
        <v>201</v>
      </c>
      <c r="L82">
        <v>60551416</v>
      </c>
      <c r="M82" t="s">
        <v>201</v>
      </c>
    </row>
    <row r="83" spans="1:13" x14ac:dyDescent="0.2">
      <c r="A83" t="s">
        <v>88</v>
      </c>
      <c r="B83">
        <v>67</v>
      </c>
      <c r="C83">
        <v>232</v>
      </c>
      <c r="D83">
        <v>98</v>
      </c>
      <c r="E83" t="s">
        <v>6</v>
      </c>
      <c r="F83" t="s">
        <v>201</v>
      </c>
      <c r="G83" t="s">
        <v>201</v>
      </c>
      <c r="H83" t="s">
        <v>201</v>
      </c>
      <c r="I83" t="s">
        <v>201</v>
      </c>
      <c r="J83" t="s">
        <v>201</v>
      </c>
      <c r="K83" t="s">
        <v>201</v>
      </c>
      <c r="L83">
        <v>2890299</v>
      </c>
      <c r="M83" t="s">
        <v>201</v>
      </c>
    </row>
    <row r="84" spans="1:13" x14ac:dyDescent="0.2">
      <c r="A84" t="s">
        <v>89</v>
      </c>
      <c r="B84">
        <v>34</v>
      </c>
      <c r="C84">
        <v>0</v>
      </c>
      <c r="D84">
        <v>100</v>
      </c>
      <c r="E84" t="s">
        <v>6</v>
      </c>
      <c r="F84" t="s">
        <v>201</v>
      </c>
      <c r="G84" t="s">
        <v>201</v>
      </c>
      <c r="H84" t="s">
        <v>201</v>
      </c>
      <c r="I84" t="s">
        <v>201</v>
      </c>
      <c r="J84" t="s">
        <v>201</v>
      </c>
      <c r="K84" t="s">
        <v>201</v>
      </c>
      <c r="L84">
        <v>126785797</v>
      </c>
      <c r="M84" t="s">
        <v>201</v>
      </c>
    </row>
    <row r="85" spans="1:13" x14ac:dyDescent="0.2">
      <c r="A85" t="s">
        <v>90</v>
      </c>
      <c r="B85">
        <v>118</v>
      </c>
      <c r="C85">
        <v>325</v>
      </c>
      <c r="D85">
        <v>100</v>
      </c>
      <c r="E85" t="s">
        <v>6</v>
      </c>
      <c r="F85" t="s">
        <v>201</v>
      </c>
      <c r="G85" t="s">
        <v>201</v>
      </c>
      <c r="H85" t="s">
        <v>201</v>
      </c>
      <c r="I85" t="s">
        <v>201</v>
      </c>
      <c r="J85" t="s">
        <v>201</v>
      </c>
      <c r="K85" t="s">
        <v>201</v>
      </c>
      <c r="L85">
        <v>9702353</v>
      </c>
      <c r="M85" t="s">
        <v>201</v>
      </c>
    </row>
    <row r="86" spans="1:13" x14ac:dyDescent="0.2">
      <c r="A86" t="s">
        <v>91</v>
      </c>
      <c r="B86">
        <v>35</v>
      </c>
      <c r="C86">
        <v>51</v>
      </c>
      <c r="D86">
        <v>100</v>
      </c>
      <c r="E86" t="s">
        <v>6</v>
      </c>
      <c r="F86" t="s">
        <v>201</v>
      </c>
      <c r="G86" t="s">
        <v>201</v>
      </c>
      <c r="H86" t="s">
        <v>201</v>
      </c>
      <c r="I86" t="s">
        <v>201</v>
      </c>
      <c r="J86" t="s">
        <v>201</v>
      </c>
      <c r="K86" t="s">
        <v>201</v>
      </c>
      <c r="L86">
        <v>18037646</v>
      </c>
      <c r="M86" t="s">
        <v>201</v>
      </c>
    </row>
    <row r="87" spans="1:13" x14ac:dyDescent="0.2">
      <c r="A87" t="s">
        <v>92</v>
      </c>
      <c r="B87">
        <v>92</v>
      </c>
      <c r="C87">
        <v>642</v>
      </c>
      <c r="D87">
        <v>56</v>
      </c>
      <c r="E87" t="s">
        <v>10</v>
      </c>
      <c r="F87">
        <v>582253</v>
      </c>
      <c r="G87">
        <v>15399</v>
      </c>
      <c r="H87">
        <v>23046</v>
      </c>
      <c r="I87">
        <v>22476</v>
      </c>
      <c r="J87">
        <v>60921</v>
      </c>
      <c r="K87">
        <v>0.10462977434208154</v>
      </c>
      <c r="L87">
        <v>49699862</v>
      </c>
      <c r="M87">
        <v>1.2257780514561591E-3</v>
      </c>
    </row>
    <row r="88" spans="1:13" x14ac:dyDescent="0.2">
      <c r="A88" t="s">
        <v>93</v>
      </c>
      <c r="B88">
        <v>152</v>
      </c>
      <c r="C88">
        <v>3229</v>
      </c>
      <c r="D88">
        <v>85</v>
      </c>
      <c r="E88" t="s">
        <v>6</v>
      </c>
      <c r="F88" t="s">
        <v>201</v>
      </c>
      <c r="G88" t="s">
        <v>201</v>
      </c>
      <c r="H88" t="s">
        <v>201</v>
      </c>
      <c r="I88" t="s">
        <v>201</v>
      </c>
      <c r="J88" t="s">
        <v>201</v>
      </c>
      <c r="K88" t="s">
        <v>201</v>
      </c>
      <c r="L88">
        <v>116398</v>
      </c>
      <c r="M88" t="s">
        <v>201</v>
      </c>
    </row>
    <row r="89" spans="1:13" x14ac:dyDescent="0.2">
      <c r="A89" t="s">
        <v>94</v>
      </c>
      <c r="B89">
        <v>5</v>
      </c>
      <c r="C89">
        <v>38</v>
      </c>
      <c r="D89">
        <v>100</v>
      </c>
      <c r="E89" t="s">
        <v>51</v>
      </c>
      <c r="F89" t="s">
        <v>201</v>
      </c>
      <c r="G89" t="s">
        <v>201</v>
      </c>
      <c r="H89" t="s">
        <v>201</v>
      </c>
      <c r="I89" t="s">
        <v>201</v>
      </c>
      <c r="J89" t="s">
        <v>201</v>
      </c>
      <c r="K89" t="s">
        <v>201</v>
      </c>
      <c r="L89">
        <v>51466201</v>
      </c>
      <c r="M89" t="s">
        <v>201</v>
      </c>
    </row>
    <row r="90" spans="1:13" x14ac:dyDescent="0.2">
      <c r="A90" t="s">
        <v>95</v>
      </c>
      <c r="B90">
        <v>60</v>
      </c>
      <c r="C90">
        <v>225</v>
      </c>
      <c r="D90">
        <v>100</v>
      </c>
      <c r="E90" t="s">
        <v>6</v>
      </c>
      <c r="F90" t="s">
        <v>201</v>
      </c>
      <c r="G90" t="s">
        <v>201</v>
      </c>
      <c r="H90" t="s">
        <v>201</v>
      </c>
      <c r="I90" t="s">
        <v>201</v>
      </c>
      <c r="J90" t="s">
        <v>201</v>
      </c>
      <c r="K90" t="s">
        <v>201</v>
      </c>
      <c r="L90">
        <v>1830700</v>
      </c>
      <c r="M90" t="s">
        <v>201</v>
      </c>
    </row>
    <row r="91" spans="1:13" x14ac:dyDescent="0.2">
      <c r="A91" t="s">
        <v>96</v>
      </c>
      <c r="B91">
        <v>102</v>
      </c>
      <c r="C91">
        <v>77</v>
      </c>
      <c r="D91">
        <v>100</v>
      </c>
      <c r="E91" t="s">
        <v>6</v>
      </c>
      <c r="F91" t="s">
        <v>201</v>
      </c>
      <c r="G91" t="s">
        <v>201</v>
      </c>
      <c r="H91" t="s">
        <v>201</v>
      </c>
      <c r="I91" t="s">
        <v>201</v>
      </c>
      <c r="J91" t="s">
        <v>201</v>
      </c>
      <c r="K91" t="s">
        <v>201</v>
      </c>
      <c r="L91">
        <v>4136528</v>
      </c>
      <c r="M91" t="s">
        <v>201</v>
      </c>
    </row>
    <row r="92" spans="1:13" x14ac:dyDescent="0.2">
      <c r="A92" t="s">
        <v>97</v>
      </c>
      <c r="B92">
        <v>75</v>
      </c>
      <c r="C92">
        <v>858</v>
      </c>
      <c r="D92">
        <v>100</v>
      </c>
      <c r="E92" t="s">
        <v>6</v>
      </c>
      <c r="F92" t="s">
        <v>201</v>
      </c>
      <c r="G92" t="s">
        <v>201</v>
      </c>
      <c r="H92" t="s">
        <v>201</v>
      </c>
      <c r="I92" t="s">
        <v>201</v>
      </c>
      <c r="J92" t="s">
        <v>201</v>
      </c>
      <c r="K92" t="s">
        <v>201</v>
      </c>
      <c r="L92">
        <v>6201500</v>
      </c>
      <c r="M92" t="s">
        <v>201</v>
      </c>
    </row>
    <row r="93" spans="1:13" x14ac:dyDescent="0.2">
      <c r="A93" t="s">
        <v>98</v>
      </c>
      <c r="B93">
        <v>139</v>
      </c>
      <c r="C93">
        <v>1409</v>
      </c>
      <c r="D93">
        <v>87</v>
      </c>
      <c r="E93" t="s">
        <v>6</v>
      </c>
      <c r="F93" t="s">
        <v>201</v>
      </c>
      <c r="G93" t="s">
        <v>201</v>
      </c>
      <c r="H93" t="s">
        <v>201</v>
      </c>
      <c r="I93" t="s">
        <v>201</v>
      </c>
      <c r="J93" t="s">
        <v>201</v>
      </c>
      <c r="K93" t="s">
        <v>201</v>
      </c>
      <c r="L93">
        <v>6858160</v>
      </c>
      <c r="M93" t="s">
        <v>201</v>
      </c>
    </row>
    <row r="94" spans="1:13" x14ac:dyDescent="0.2">
      <c r="A94" t="s">
        <v>99</v>
      </c>
      <c r="B94">
        <v>14</v>
      </c>
      <c r="C94">
        <v>290</v>
      </c>
      <c r="D94">
        <v>100</v>
      </c>
      <c r="E94" t="s">
        <v>6</v>
      </c>
      <c r="F94" t="s">
        <v>201</v>
      </c>
      <c r="G94" t="s">
        <v>201</v>
      </c>
      <c r="H94" t="s">
        <v>201</v>
      </c>
      <c r="I94" t="s">
        <v>201</v>
      </c>
      <c r="J94" t="s">
        <v>201</v>
      </c>
      <c r="K94" t="s">
        <v>201</v>
      </c>
      <c r="L94">
        <v>1940740</v>
      </c>
      <c r="M94" t="s">
        <v>201</v>
      </c>
    </row>
    <row r="95" spans="1:13" x14ac:dyDescent="0.2">
      <c r="A95" t="s">
        <v>100</v>
      </c>
      <c r="B95">
        <v>126</v>
      </c>
      <c r="C95">
        <v>125</v>
      </c>
      <c r="D95">
        <v>100</v>
      </c>
      <c r="E95" t="s">
        <v>6</v>
      </c>
      <c r="F95" t="s">
        <v>201</v>
      </c>
      <c r="G95" t="s">
        <v>201</v>
      </c>
      <c r="H95" t="s">
        <v>201</v>
      </c>
      <c r="I95" t="s">
        <v>201</v>
      </c>
      <c r="J95" t="s">
        <v>201</v>
      </c>
      <c r="K95" t="s">
        <v>201</v>
      </c>
      <c r="L95">
        <v>6082357</v>
      </c>
      <c r="M95" t="s">
        <v>201</v>
      </c>
    </row>
    <row r="96" spans="1:13" x14ac:dyDescent="0.2">
      <c r="A96" t="s">
        <v>101</v>
      </c>
      <c r="B96">
        <v>100</v>
      </c>
      <c r="C96">
        <v>1422</v>
      </c>
      <c r="D96">
        <v>30</v>
      </c>
      <c r="E96" t="s">
        <v>10</v>
      </c>
      <c r="F96">
        <v>30454</v>
      </c>
      <c r="G96">
        <v>1122</v>
      </c>
      <c r="H96">
        <v>938</v>
      </c>
      <c r="I96">
        <v>599</v>
      </c>
      <c r="J96">
        <v>2659</v>
      </c>
      <c r="K96">
        <v>8.7312011558415975E-2</v>
      </c>
      <c r="L96">
        <v>2233339</v>
      </c>
      <c r="M96">
        <v>1.190593994015239E-3</v>
      </c>
    </row>
    <row r="97" spans="1:13" x14ac:dyDescent="0.2">
      <c r="A97" t="s">
        <v>102</v>
      </c>
      <c r="B97">
        <v>174</v>
      </c>
      <c r="C97">
        <v>4067</v>
      </c>
      <c r="D97">
        <v>20</v>
      </c>
      <c r="E97" t="s">
        <v>10</v>
      </c>
      <c r="F97">
        <v>95877</v>
      </c>
      <c r="G97">
        <v>0</v>
      </c>
      <c r="H97">
        <v>667</v>
      </c>
      <c r="I97">
        <v>0</v>
      </c>
      <c r="J97">
        <v>667</v>
      </c>
      <c r="K97">
        <v>6.9568301052390039E-3</v>
      </c>
      <c r="L97">
        <v>4731906</v>
      </c>
      <c r="M97">
        <v>1.4095799874300124E-4</v>
      </c>
    </row>
    <row r="98" spans="1:13" x14ac:dyDescent="0.2">
      <c r="A98" t="s">
        <v>103</v>
      </c>
      <c r="B98">
        <v>188</v>
      </c>
      <c r="C98">
        <v>442</v>
      </c>
      <c r="D98">
        <v>99</v>
      </c>
      <c r="E98" t="s">
        <v>6</v>
      </c>
      <c r="F98">
        <v>1616869</v>
      </c>
      <c r="G98">
        <v>11823</v>
      </c>
      <c r="H98">
        <v>13979</v>
      </c>
      <c r="I98">
        <v>21649</v>
      </c>
      <c r="J98">
        <v>47451</v>
      </c>
      <c r="K98">
        <v>2.9347461049720171E-2</v>
      </c>
      <c r="L98">
        <v>6374616</v>
      </c>
      <c r="M98">
        <v>7.4437424936655006E-3</v>
      </c>
    </row>
    <row r="99" spans="1:13" x14ac:dyDescent="0.2">
      <c r="A99" t="s">
        <v>104</v>
      </c>
      <c r="B99">
        <v>21</v>
      </c>
      <c r="C99">
        <v>44</v>
      </c>
      <c r="D99">
        <v>100</v>
      </c>
      <c r="E99" t="s">
        <v>6</v>
      </c>
      <c r="F99" t="s">
        <v>201</v>
      </c>
      <c r="G99" t="s">
        <v>201</v>
      </c>
      <c r="H99" t="s">
        <v>201</v>
      </c>
      <c r="I99" t="s">
        <v>201</v>
      </c>
      <c r="J99" t="s">
        <v>201</v>
      </c>
      <c r="K99" t="s">
        <v>201</v>
      </c>
      <c r="L99">
        <v>2827721</v>
      </c>
      <c r="M99" t="s">
        <v>201</v>
      </c>
    </row>
    <row r="100" spans="1:13" x14ac:dyDescent="0.2">
      <c r="A100" t="s">
        <v>105</v>
      </c>
      <c r="B100">
        <v>59</v>
      </c>
      <c r="C100">
        <v>36</v>
      </c>
      <c r="D100">
        <v>100</v>
      </c>
      <c r="E100" t="s">
        <v>6</v>
      </c>
      <c r="F100" t="s">
        <v>201</v>
      </c>
      <c r="G100" t="s">
        <v>201</v>
      </c>
      <c r="H100" t="s">
        <v>201</v>
      </c>
      <c r="I100" t="s">
        <v>201</v>
      </c>
      <c r="J100" t="s">
        <v>201</v>
      </c>
      <c r="K100" t="s">
        <v>201</v>
      </c>
      <c r="L100">
        <v>599449</v>
      </c>
      <c r="M100" t="s">
        <v>201</v>
      </c>
    </row>
    <row r="101" spans="1:13" x14ac:dyDescent="0.2">
      <c r="A101" t="s">
        <v>106</v>
      </c>
      <c r="B101">
        <v>10</v>
      </c>
      <c r="C101">
        <v>212</v>
      </c>
      <c r="D101">
        <v>100</v>
      </c>
      <c r="E101" t="s">
        <v>51</v>
      </c>
      <c r="F101" t="s">
        <v>201</v>
      </c>
      <c r="G101" t="s">
        <v>201</v>
      </c>
      <c r="H101" t="s">
        <v>201</v>
      </c>
      <c r="I101" t="s">
        <v>201</v>
      </c>
      <c r="J101" t="s">
        <v>201</v>
      </c>
      <c r="K101" t="s">
        <v>201</v>
      </c>
      <c r="L101">
        <v>2083160</v>
      </c>
      <c r="M101" t="s">
        <v>201</v>
      </c>
    </row>
    <row r="102" spans="1:13" x14ac:dyDescent="0.2">
      <c r="A102" t="s">
        <v>107</v>
      </c>
      <c r="B102">
        <v>167</v>
      </c>
      <c r="C102">
        <v>5699</v>
      </c>
      <c r="D102">
        <v>23</v>
      </c>
      <c r="E102" t="s">
        <v>10</v>
      </c>
      <c r="F102">
        <v>591575</v>
      </c>
      <c r="G102">
        <v>3194</v>
      </c>
      <c r="H102">
        <v>4987</v>
      </c>
      <c r="I102">
        <v>2617</v>
      </c>
      <c r="J102">
        <v>10798</v>
      </c>
      <c r="K102">
        <v>1.8252968769809409E-2</v>
      </c>
      <c r="L102">
        <v>25570895</v>
      </c>
      <c r="M102">
        <v>4.2227696762276015E-4</v>
      </c>
    </row>
    <row r="103" spans="1:13" x14ac:dyDescent="0.2">
      <c r="A103" t="s">
        <v>108</v>
      </c>
      <c r="B103">
        <v>133</v>
      </c>
      <c r="C103">
        <v>2688</v>
      </c>
      <c r="D103">
        <v>11</v>
      </c>
      <c r="E103" t="s">
        <v>10</v>
      </c>
      <c r="F103">
        <v>118062</v>
      </c>
      <c r="G103">
        <v>4474</v>
      </c>
      <c r="H103">
        <v>5210</v>
      </c>
      <c r="I103">
        <v>1986</v>
      </c>
      <c r="J103">
        <v>11670</v>
      </c>
      <c r="K103">
        <v>9.884636885704122E-2</v>
      </c>
      <c r="L103">
        <v>18622104</v>
      </c>
      <c r="M103">
        <v>6.266746228030946E-4</v>
      </c>
    </row>
    <row r="104" spans="1:13" x14ac:dyDescent="0.2">
      <c r="A104" t="s">
        <v>109</v>
      </c>
      <c r="B104">
        <v>23</v>
      </c>
      <c r="C104">
        <v>27</v>
      </c>
      <c r="D104">
        <v>100</v>
      </c>
      <c r="E104" t="s">
        <v>6</v>
      </c>
      <c r="F104" t="s">
        <v>201</v>
      </c>
      <c r="G104" t="s">
        <v>201</v>
      </c>
      <c r="H104" t="s">
        <v>201</v>
      </c>
      <c r="I104" t="s">
        <v>201</v>
      </c>
      <c r="J104" t="s">
        <v>201</v>
      </c>
      <c r="K104" t="s">
        <v>201</v>
      </c>
      <c r="L104">
        <v>31624264</v>
      </c>
      <c r="M104" t="s">
        <v>201</v>
      </c>
    </row>
    <row r="105" spans="1:13" x14ac:dyDescent="0.2">
      <c r="A105" t="s">
        <v>110</v>
      </c>
      <c r="B105">
        <v>135</v>
      </c>
      <c r="C105">
        <v>322</v>
      </c>
      <c r="D105">
        <v>100</v>
      </c>
      <c r="E105" t="s">
        <v>6</v>
      </c>
      <c r="F105" t="s">
        <v>201</v>
      </c>
      <c r="G105" t="s">
        <v>201</v>
      </c>
      <c r="H105" t="s">
        <v>201</v>
      </c>
      <c r="I105" t="s">
        <v>201</v>
      </c>
      <c r="J105" t="s">
        <v>201</v>
      </c>
      <c r="K105" t="s">
        <v>201</v>
      </c>
      <c r="L105">
        <v>436330</v>
      </c>
      <c r="M105" t="s">
        <v>201</v>
      </c>
    </row>
    <row r="106" spans="1:13" x14ac:dyDescent="0.2">
      <c r="A106" t="s">
        <v>111</v>
      </c>
      <c r="B106">
        <v>141</v>
      </c>
      <c r="C106">
        <v>2965</v>
      </c>
      <c r="D106">
        <v>35</v>
      </c>
      <c r="E106" t="s">
        <v>10</v>
      </c>
      <c r="F106">
        <v>1251574</v>
      </c>
      <c r="G106">
        <v>0</v>
      </c>
      <c r="H106">
        <v>7906</v>
      </c>
      <c r="I106">
        <v>1923</v>
      </c>
      <c r="J106">
        <v>9829</v>
      </c>
      <c r="K106">
        <v>7.8533111106494705E-3</v>
      </c>
      <c r="L106">
        <v>18541980</v>
      </c>
      <c r="M106">
        <v>5.300944127865525E-4</v>
      </c>
    </row>
    <row r="107" spans="1:13" x14ac:dyDescent="0.2">
      <c r="A107" t="s">
        <v>112</v>
      </c>
      <c r="B107">
        <v>76</v>
      </c>
      <c r="C107">
        <v>268</v>
      </c>
      <c r="D107">
        <v>100</v>
      </c>
      <c r="E107" t="s">
        <v>6</v>
      </c>
      <c r="F107" t="s">
        <v>201</v>
      </c>
      <c r="G107" t="s">
        <v>201</v>
      </c>
      <c r="H107" t="s">
        <v>201</v>
      </c>
      <c r="I107" t="s">
        <v>201</v>
      </c>
      <c r="J107" t="s">
        <v>201</v>
      </c>
      <c r="K107" t="s">
        <v>201</v>
      </c>
      <c r="L107">
        <v>465292</v>
      </c>
      <c r="M107" t="s">
        <v>201</v>
      </c>
    </row>
    <row r="108" spans="1:13" x14ac:dyDescent="0.2">
      <c r="A108" t="s">
        <v>113</v>
      </c>
      <c r="B108">
        <v>143</v>
      </c>
      <c r="C108">
        <v>712</v>
      </c>
      <c r="D108">
        <v>93</v>
      </c>
      <c r="E108" t="s">
        <v>6</v>
      </c>
      <c r="F108" t="s">
        <v>201</v>
      </c>
      <c r="G108" t="s">
        <v>201</v>
      </c>
      <c r="H108" t="s">
        <v>201</v>
      </c>
      <c r="I108" t="s">
        <v>201</v>
      </c>
      <c r="J108" t="s">
        <v>201</v>
      </c>
      <c r="K108" t="s">
        <v>201</v>
      </c>
      <c r="L108">
        <v>53127</v>
      </c>
      <c r="M108" t="s">
        <v>201</v>
      </c>
    </row>
    <row r="109" spans="1:13" x14ac:dyDescent="0.2">
      <c r="A109" t="s">
        <v>114</v>
      </c>
      <c r="B109">
        <v>160</v>
      </c>
      <c r="C109">
        <v>4735</v>
      </c>
      <c r="D109">
        <v>42</v>
      </c>
      <c r="E109" t="s">
        <v>10</v>
      </c>
      <c r="F109">
        <v>1040738</v>
      </c>
      <c r="G109">
        <v>4988</v>
      </c>
      <c r="H109">
        <v>7990</v>
      </c>
      <c r="I109">
        <v>11822</v>
      </c>
      <c r="J109">
        <v>24800</v>
      </c>
      <c r="K109">
        <v>2.3829244247831827E-2</v>
      </c>
      <c r="L109">
        <v>4420184</v>
      </c>
      <c r="M109">
        <v>5.610626163978694E-3</v>
      </c>
    </row>
    <row r="110" spans="1:13" x14ac:dyDescent="0.2">
      <c r="A110" t="s">
        <v>115</v>
      </c>
      <c r="B110">
        <v>49</v>
      </c>
      <c r="C110">
        <v>248</v>
      </c>
      <c r="D110">
        <v>99</v>
      </c>
      <c r="E110" t="s">
        <v>10</v>
      </c>
      <c r="F110" t="s">
        <v>201</v>
      </c>
      <c r="G110" t="s">
        <v>201</v>
      </c>
      <c r="H110" t="s">
        <v>201</v>
      </c>
      <c r="I110" t="s">
        <v>201</v>
      </c>
      <c r="J110" t="s">
        <v>201</v>
      </c>
      <c r="K110" t="s">
        <v>201</v>
      </c>
      <c r="L110">
        <v>1264613</v>
      </c>
      <c r="M110" t="s">
        <v>201</v>
      </c>
    </row>
    <row r="111" spans="1:13" x14ac:dyDescent="0.2">
      <c r="A111" t="s">
        <v>116</v>
      </c>
      <c r="B111">
        <v>47</v>
      </c>
      <c r="C111">
        <v>337</v>
      </c>
      <c r="D111">
        <v>100</v>
      </c>
      <c r="E111" t="s">
        <v>6</v>
      </c>
      <c r="F111" t="s">
        <v>201</v>
      </c>
      <c r="G111" t="s">
        <v>201</v>
      </c>
      <c r="H111" t="s">
        <v>201</v>
      </c>
      <c r="I111" t="s">
        <v>201</v>
      </c>
      <c r="J111" t="s">
        <v>201</v>
      </c>
      <c r="K111" t="s">
        <v>201</v>
      </c>
      <c r="L111">
        <v>129163276</v>
      </c>
      <c r="M111" t="s">
        <v>201</v>
      </c>
    </row>
    <row r="112" spans="1:13" x14ac:dyDescent="0.2">
      <c r="A112" t="s">
        <v>117</v>
      </c>
      <c r="B112">
        <v>151</v>
      </c>
      <c r="C112">
        <v>397</v>
      </c>
      <c r="D112">
        <v>75</v>
      </c>
      <c r="E112" t="s">
        <v>6</v>
      </c>
      <c r="F112" t="s">
        <v>201</v>
      </c>
      <c r="G112" t="s">
        <v>201</v>
      </c>
      <c r="H112" t="s">
        <v>201</v>
      </c>
      <c r="I112" t="s">
        <v>201</v>
      </c>
      <c r="J112" t="s">
        <v>201</v>
      </c>
      <c r="K112" t="s">
        <v>201</v>
      </c>
      <c r="L112">
        <v>105544</v>
      </c>
      <c r="M112" t="s">
        <v>201</v>
      </c>
    </row>
    <row r="113" spans="1:13" x14ac:dyDescent="0.2">
      <c r="A113" t="s">
        <v>118</v>
      </c>
      <c r="B113">
        <v>44</v>
      </c>
      <c r="C113">
        <v>738</v>
      </c>
      <c r="D113">
        <v>100</v>
      </c>
      <c r="E113" t="s">
        <v>6</v>
      </c>
      <c r="F113" t="s">
        <v>201</v>
      </c>
      <c r="G113" t="s">
        <v>201</v>
      </c>
      <c r="H113" t="s">
        <v>201</v>
      </c>
      <c r="I113" t="s">
        <v>201</v>
      </c>
      <c r="J113" t="s">
        <v>201</v>
      </c>
      <c r="K113" t="s">
        <v>201</v>
      </c>
      <c r="L113">
        <v>3549750</v>
      </c>
      <c r="M113" t="s">
        <v>201</v>
      </c>
    </row>
    <row r="114" spans="1:13" x14ac:dyDescent="0.2">
      <c r="A114" t="s">
        <v>119</v>
      </c>
      <c r="B114">
        <v>64</v>
      </c>
      <c r="C114">
        <v>579</v>
      </c>
      <c r="D114">
        <v>82</v>
      </c>
      <c r="E114" t="s">
        <v>6</v>
      </c>
      <c r="F114" t="s">
        <v>201</v>
      </c>
      <c r="G114" t="s">
        <v>201</v>
      </c>
      <c r="H114" t="s">
        <v>201</v>
      </c>
      <c r="I114" t="s">
        <v>201</v>
      </c>
      <c r="J114" t="s">
        <v>201</v>
      </c>
      <c r="K114" t="s">
        <v>201</v>
      </c>
      <c r="L114">
        <v>3075647</v>
      </c>
      <c r="M114" t="s">
        <v>201</v>
      </c>
    </row>
    <row r="115" spans="1:13" x14ac:dyDescent="0.2">
      <c r="A115" t="s">
        <v>120</v>
      </c>
      <c r="B115">
        <v>51</v>
      </c>
      <c r="C115">
        <v>441</v>
      </c>
      <c r="D115">
        <v>100</v>
      </c>
      <c r="E115" t="s">
        <v>6</v>
      </c>
      <c r="F115" t="s">
        <v>201</v>
      </c>
      <c r="G115" t="s">
        <v>201</v>
      </c>
      <c r="H115" t="s">
        <v>201</v>
      </c>
      <c r="I115" t="s">
        <v>201</v>
      </c>
      <c r="J115" t="s">
        <v>201</v>
      </c>
      <c r="K115" t="s">
        <v>201</v>
      </c>
      <c r="L115">
        <v>622471</v>
      </c>
      <c r="M115" t="s">
        <v>201</v>
      </c>
    </row>
    <row r="116" spans="1:13" x14ac:dyDescent="0.2">
      <c r="A116" t="s">
        <v>121</v>
      </c>
      <c r="B116">
        <v>68</v>
      </c>
      <c r="C116">
        <v>1770</v>
      </c>
      <c r="D116">
        <v>100</v>
      </c>
      <c r="E116" t="s">
        <v>6</v>
      </c>
      <c r="F116">
        <v>406318</v>
      </c>
      <c r="G116">
        <v>15127</v>
      </c>
      <c r="H116">
        <v>15155</v>
      </c>
      <c r="I116">
        <v>11297</v>
      </c>
      <c r="J116">
        <v>41579</v>
      </c>
      <c r="K116">
        <v>0.10233117902726437</v>
      </c>
      <c r="L116">
        <v>35739580</v>
      </c>
      <c r="M116">
        <v>1.1633880420530963E-3</v>
      </c>
    </row>
    <row r="117" spans="1:13" x14ac:dyDescent="0.2">
      <c r="A117" t="s">
        <v>122</v>
      </c>
      <c r="B117">
        <v>137</v>
      </c>
      <c r="C117">
        <v>2509</v>
      </c>
      <c r="D117">
        <v>24</v>
      </c>
      <c r="E117" t="s">
        <v>10</v>
      </c>
      <c r="F117">
        <v>786096</v>
      </c>
      <c r="G117">
        <v>16851</v>
      </c>
      <c r="H117">
        <v>22024</v>
      </c>
      <c r="I117">
        <v>10805</v>
      </c>
      <c r="J117">
        <v>49680</v>
      </c>
      <c r="K117">
        <v>6.31983879831471E-2</v>
      </c>
      <c r="L117">
        <v>29668834</v>
      </c>
      <c r="M117">
        <v>1.6744844101389358E-3</v>
      </c>
    </row>
    <row r="118" spans="1:13" x14ac:dyDescent="0.2">
      <c r="A118" t="s">
        <v>123</v>
      </c>
      <c r="B118">
        <v>170</v>
      </c>
      <c r="C118">
        <v>1270</v>
      </c>
      <c r="D118">
        <v>57</v>
      </c>
      <c r="E118" t="s">
        <v>6</v>
      </c>
      <c r="F118" t="s">
        <v>201</v>
      </c>
      <c r="G118" t="s">
        <v>201</v>
      </c>
      <c r="H118" t="s">
        <v>201</v>
      </c>
      <c r="I118" t="s">
        <v>201</v>
      </c>
      <c r="J118" t="s">
        <v>201</v>
      </c>
      <c r="K118" t="s">
        <v>201</v>
      </c>
      <c r="L118">
        <v>53370609</v>
      </c>
      <c r="M118" t="s">
        <v>201</v>
      </c>
    </row>
    <row r="119" spans="1:13" x14ac:dyDescent="0.2">
      <c r="A119" t="s">
        <v>124</v>
      </c>
      <c r="B119">
        <v>108</v>
      </c>
      <c r="C119">
        <v>349</v>
      </c>
      <c r="D119">
        <v>52</v>
      </c>
      <c r="E119" t="s">
        <v>10</v>
      </c>
      <c r="F119">
        <v>824205</v>
      </c>
      <c r="G119">
        <v>29716</v>
      </c>
      <c r="H119">
        <v>26183</v>
      </c>
      <c r="I119">
        <v>15196</v>
      </c>
      <c r="J119">
        <v>71095</v>
      </c>
      <c r="K119">
        <v>8.6258879768989508E-2</v>
      </c>
      <c r="L119">
        <v>2533794</v>
      </c>
      <c r="M119">
        <v>2.8058713533933698E-2</v>
      </c>
    </row>
    <row r="120" spans="1:13" x14ac:dyDescent="0.2">
      <c r="A120" t="s">
        <v>125</v>
      </c>
      <c r="B120">
        <v>107</v>
      </c>
      <c r="C120">
        <v>1042</v>
      </c>
      <c r="D120">
        <v>91</v>
      </c>
      <c r="E120" t="s">
        <v>6</v>
      </c>
      <c r="F120" t="s">
        <v>201</v>
      </c>
      <c r="G120" t="s">
        <v>201</v>
      </c>
      <c r="H120" t="s">
        <v>201</v>
      </c>
      <c r="I120" t="s">
        <v>201</v>
      </c>
      <c r="J120" t="s">
        <v>201</v>
      </c>
      <c r="K120" t="s">
        <v>201</v>
      </c>
      <c r="L120">
        <v>29304998</v>
      </c>
      <c r="M120" t="s">
        <v>201</v>
      </c>
    </row>
    <row r="121" spans="1:13" x14ac:dyDescent="0.2">
      <c r="A121" t="s">
        <v>126</v>
      </c>
      <c r="B121">
        <v>28</v>
      </c>
      <c r="C121">
        <v>30</v>
      </c>
      <c r="D121">
        <v>100</v>
      </c>
      <c r="E121" t="s">
        <v>6</v>
      </c>
      <c r="F121" t="s">
        <v>201</v>
      </c>
      <c r="G121" t="s">
        <v>201</v>
      </c>
      <c r="H121" t="s">
        <v>201</v>
      </c>
      <c r="I121" t="s">
        <v>201</v>
      </c>
      <c r="J121" t="s">
        <v>201</v>
      </c>
      <c r="K121" t="s">
        <v>201</v>
      </c>
      <c r="L121">
        <v>17132854</v>
      </c>
      <c r="M121" t="s">
        <v>201</v>
      </c>
    </row>
    <row r="122" spans="1:13" x14ac:dyDescent="0.2">
      <c r="A122" t="s">
        <v>127</v>
      </c>
      <c r="B122">
        <v>1</v>
      </c>
      <c r="C122">
        <v>76</v>
      </c>
      <c r="D122">
        <v>100</v>
      </c>
      <c r="E122" t="s">
        <v>51</v>
      </c>
      <c r="F122" t="s">
        <v>201</v>
      </c>
      <c r="G122" t="s">
        <v>201</v>
      </c>
      <c r="H122" t="s">
        <v>201</v>
      </c>
      <c r="I122" t="s">
        <v>201</v>
      </c>
      <c r="J122" t="s">
        <v>201</v>
      </c>
      <c r="K122" t="s">
        <v>201</v>
      </c>
      <c r="L122">
        <v>4793900</v>
      </c>
      <c r="M122" t="s">
        <v>201</v>
      </c>
    </row>
    <row r="123" spans="1:13" x14ac:dyDescent="0.2">
      <c r="A123" t="s">
        <v>128</v>
      </c>
      <c r="B123">
        <v>127</v>
      </c>
      <c r="C123">
        <v>904</v>
      </c>
      <c r="D123">
        <v>82</v>
      </c>
      <c r="E123" t="s">
        <v>6</v>
      </c>
      <c r="F123" t="s">
        <v>201</v>
      </c>
      <c r="G123" t="s">
        <v>201</v>
      </c>
      <c r="H123" t="s">
        <v>201</v>
      </c>
      <c r="I123" t="s">
        <v>201</v>
      </c>
      <c r="J123" t="s">
        <v>201</v>
      </c>
      <c r="K123" t="s">
        <v>201</v>
      </c>
      <c r="L123">
        <v>6217581</v>
      </c>
      <c r="M123" t="s">
        <v>201</v>
      </c>
    </row>
    <row r="124" spans="1:13" x14ac:dyDescent="0.2">
      <c r="A124" t="s">
        <v>129</v>
      </c>
      <c r="B124">
        <v>150</v>
      </c>
      <c r="C124">
        <v>5427</v>
      </c>
      <c r="D124">
        <v>16</v>
      </c>
      <c r="E124" t="s">
        <v>10</v>
      </c>
      <c r="F124">
        <v>1183766</v>
      </c>
      <c r="G124">
        <v>8829</v>
      </c>
      <c r="H124">
        <v>15669</v>
      </c>
      <c r="I124">
        <v>14628</v>
      </c>
      <c r="J124">
        <v>39126</v>
      </c>
      <c r="K124">
        <v>3.3052140372337099E-2</v>
      </c>
      <c r="L124">
        <v>21477348</v>
      </c>
      <c r="M124">
        <v>1.8217332977982198E-3</v>
      </c>
    </row>
    <row r="125" spans="1:13" x14ac:dyDescent="0.2">
      <c r="A125" t="s">
        <v>130</v>
      </c>
      <c r="B125">
        <v>169</v>
      </c>
      <c r="C125">
        <v>440</v>
      </c>
      <c r="D125">
        <v>59</v>
      </c>
      <c r="E125" t="s">
        <v>10</v>
      </c>
      <c r="F125">
        <v>909481</v>
      </c>
      <c r="G125">
        <v>10045</v>
      </c>
      <c r="H125">
        <v>32456</v>
      </c>
      <c r="I125">
        <v>12867</v>
      </c>
      <c r="J125">
        <v>55368</v>
      </c>
      <c r="K125">
        <v>6.0878676959716584E-2</v>
      </c>
      <c r="L125">
        <v>190886311</v>
      </c>
      <c r="M125">
        <v>2.9005746776676931E-4</v>
      </c>
    </row>
    <row r="126" spans="1:13" x14ac:dyDescent="0.2">
      <c r="A126" t="s">
        <v>131</v>
      </c>
      <c r="B126">
        <v>6</v>
      </c>
      <c r="C126">
        <v>11</v>
      </c>
      <c r="D126">
        <v>100</v>
      </c>
      <c r="E126" t="s">
        <v>51</v>
      </c>
      <c r="F126" t="s">
        <v>201</v>
      </c>
      <c r="G126" t="s">
        <v>201</v>
      </c>
      <c r="H126" t="s">
        <v>201</v>
      </c>
      <c r="I126" t="s">
        <v>201</v>
      </c>
      <c r="J126" t="s">
        <v>201</v>
      </c>
      <c r="K126" t="s">
        <v>201</v>
      </c>
      <c r="L126">
        <v>5282223</v>
      </c>
      <c r="M126" t="s">
        <v>201</v>
      </c>
    </row>
    <row r="127" spans="1:13" x14ac:dyDescent="0.2">
      <c r="A127" t="s">
        <v>132</v>
      </c>
      <c r="B127">
        <v>66</v>
      </c>
      <c r="C127">
        <v>81</v>
      </c>
      <c r="D127">
        <v>100</v>
      </c>
      <c r="E127" t="s">
        <v>6</v>
      </c>
      <c r="F127" t="s">
        <v>201</v>
      </c>
      <c r="G127" t="s">
        <v>201</v>
      </c>
      <c r="H127" t="s">
        <v>201</v>
      </c>
      <c r="I127" t="s">
        <v>201</v>
      </c>
      <c r="J127" t="s">
        <v>201</v>
      </c>
      <c r="K127" t="s">
        <v>201</v>
      </c>
      <c r="L127">
        <v>4636262</v>
      </c>
      <c r="M127" t="s">
        <v>201</v>
      </c>
    </row>
    <row r="128" spans="1:13" x14ac:dyDescent="0.2">
      <c r="A128" t="s">
        <v>133</v>
      </c>
      <c r="B128">
        <v>144</v>
      </c>
      <c r="C128">
        <v>1772</v>
      </c>
      <c r="D128">
        <v>99</v>
      </c>
      <c r="E128" t="s">
        <v>6</v>
      </c>
      <c r="F128" t="s">
        <v>201</v>
      </c>
      <c r="G128" t="s">
        <v>201</v>
      </c>
      <c r="H128" t="s">
        <v>201</v>
      </c>
      <c r="I128" t="s">
        <v>201</v>
      </c>
      <c r="J128" t="s">
        <v>201</v>
      </c>
      <c r="K128" t="s">
        <v>201</v>
      </c>
      <c r="L128">
        <v>197015955</v>
      </c>
      <c r="M128" t="s">
        <v>201</v>
      </c>
    </row>
    <row r="129" spans="1:13" x14ac:dyDescent="0.2">
      <c r="A129" t="s">
        <v>134</v>
      </c>
      <c r="B129">
        <v>136</v>
      </c>
      <c r="C129">
        <v>65</v>
      </c>
      <c r="D129">
        <v>99</v>
      </c>
      <c r="E129" t="s">
        <v>6</v>
      </c>
      <c r="F129" t="s">
        <v>201</v>
      </c>
      <c r="G129" t="s">
        <v>201</v>
      </c>
      <c r="H129" t="s">
        <v>201</v>
      </c>
      <c r="I129" t="s">
        <v>201</v>
      </c>
      <c r="J129" t="s">
        <v>201</v>
      </c>
      <c r="K129" t="s">
        <v>201</v>
      </c>
      <c r="L129">
        <v>21729</v>
      </c>
      <c r="M129" t="s">
        <v>201</v>
      </c>
    </row>
    <row r="130" spans="1:13" x14ac:dyDescent="0.2">
      <c r="A130" t="s">
        <v>135</v>
      </c>
      <c r="B130">
        <v>70</v>
      </c>
      <c r="C130">
        <v>9</v>
      </c>
      <c r="D130">
        <v>93</v>
      </c>
      <c r="E130" t="s">
        <v>6</v>
      </c>
      <c r="F130" t="s">
        <v>201</v>
      </c>
      <c r="G130" t="s">
        <v>201</v>
      </c>
      <c r="H130" t="s">
        <v>201</v>
      </c>
      <c r="I130" t="s">
        <v>201</v>
      </c>
      <c r="J130" t="s">
        <v>201</v>
      </c>
      <c r="K130" t="s">
        <v>201</v>
      </c>
      <c r="L130">
        <v>4098587</v>
      </c>
      <c r="M130" t="s">
        <v>201</v>
      </c>
    </row>
    <row r="131" spans="1:13" x14ac:dyDescent="0.2">
      <c r="A131" t="s">
        <v>136</v>
      </c>
      <c r="B131">
        <v>119</v>
      </c>
      <c r="C131">
        <v>38</v>
      </c>
      <c r="D131">
        <v>23</v>
      </c>
      <c r="E131" t="s">
        <v>6</v>
      </c>
      <c r="F131" t="s">
        <v>201</v>
      </c>
      <c r="G131" t="s">
        <v>201</v>
      </c>
      <c r="H131" t="s">
        <v>201</v>
      </c>
      <c r="I131" t="s">
        <v>201</v>
      </c>
      <c r="J131" t="s">
        <v>201</v>
      </c>
      <c r="K131" t="s">
        <v>201</v>
      </c>
      <c r="L131">
        <v>8251162</v>
      </c>
      <c r="M131" t="s">
        <v>201</v>
      </c>
    </row>
    <row r="132" spans="1:13" x14ac:dyDescent="0.2">
      <c r="A132" t="s">
        <v>137</v>
      </c>
      <c r="B132">
        <v>106</v>
      </c>
      <c r="C132">
        <v>152</v>
      </c>
      <c r="D132">
        <v>98</v>
      </c>
      <c r="E132" t="s">
        <v>6</v>
      </c>
      <c r="F132" t="s">
        <v>201</v>
      </c>
      <c r="G132" t="s">
        <v>201</v>
      </c>
      <c r="H132" t="s">
        <v>201</v>
      </c>
      <c r="I132" t="s">
        <v>201</v>
      </c>
      <c r="J132" t="s">
        <v>201</v>
      </c>
      <c r="K132" t="s">
        <v>201</v>
      </c>
      <c r="L132">
        <v>6811297</v>
      </c>
      <c r="M132" t="s">
        <v>201</v>
      </c>
    </row>
    <row r="133" spans="1:13" x14ac:dyDescent="0.2">
      <c r="A133" t="s">
        <v>138</v>
      </c>
      <c r="B133">
        <v>54</v>
      </c>
      <c r="C133">
        <v>336</v>
      </c>
      <c r="D133">
        <v>95</v>
      </c>
      <c r="E133" t="s">
        <v>6</v>
      </c>
      <c r="F133" t="s">
        <v>201</v>
      </c>
      <c r="G133" t="s">
        <v>201</v>
      </c>
      <c r="H133" t="s">
        <v>201</v>
      </c>
      <c r="I133" t="s">
        <v>201</v>
      </c>
      <c r="J133" t="s">
        <v>201</v>
      </c>
      <c r="K133" t="s">
        <v>201</v>
      </c>
      <c r="L133">
        <v>32165485</v>
      </c>
      <c r="M133" t="s">
        <v>201</v>
      </c>
    </row>
    <row r="134" spans="1:13" x14ac:dyDescent="0.2">
      <c r="A134" t="s">
        <v>139</v>
      </c>
      <c r="B134">
        <v>99</v>
      </c>
      <c r="C134">
        <v>26</v>
      </c>
      <c r="D134">
        <v>91</v>
      </c>
      <c r="E134" t="s">
        <v>6</v>
      </c>
      <c r="F134" t="s">
        <v>201</v>
      </c>
      <c r="G134" t="s">
        <v>201</v>
      </c>
      <c r="H134" t="s">
        <v>201</v>
      </c>
      <c r="I134" t="s">
        <v>201</v>
      </c>
      <c r="J134" t="s">
        <v>201</v>
      </c>
      <c r="K134" t="s">
        <v>201</v>
      </c>
      <c r="L134">
        <v>104918090</v>
      </c>
      <c r="M134" t="s">
        <v>201</v>
      </c>
    </row>
    <row r="135" spans="1:13" x14ac:dyDescent="0.2">
      <c r="A135" t="s">
        <v>140</v>
      </c>
      <c r="B135">
        <v>24</v>
      </c>
      <c r="C135">
        <v>19</v>
      </c>
      <c r="D135">
        <v>100</v>
      </c>
      <c r="E135" t="s">
        <v>6</v>
      </c>
      <c r="F135" t="s">
        <v>201</v>
      </c>
      <c r="G135" t="s">
        <v>201</v>
      </c>
      <c r="H135" t="s">
        <v>201</v>
      </c>
      <c r="I135" t="s">
        <v>201</v>
      </c>
      <c r="J135" t="s">
        <v>201</v>
      </c>
      <c r="K135" t="s">
        <v>201</v>
      </c>
      <c r="L135">
        <v>37975841</v>
      </c>
      <c r="M135" t="s">
        <v>201</v>
      </c>
    </row>
    <row r="136" spans="1:13" x14ac:dyDescent="0.2">
      <c r="A136" t="s">
        <v>141</v>
      </c>
      <c r="B136">
        <v>25</v>
      </c>
      <c r="C136">
        <v>37</v>
      </c>
      <c r="D136">
        <v>100</v>
      </c>
      <c r="E136" t="s">
        <v>6</v>
      </c>
      <c r="F136" t="s">
        <v>201</v>
      </c>
      <c r="G136" t="s">
        <v>201</v>
      </c>
      <c r="H136" t="s">
        <v>201</v>
      </c>
      <c r="I136" t="s">
        <v>201</v>
      </c>
      <c r="J136" t="s">
        <v>201</v>
      </c>
      <c r="K136" t="s">
        <v>201</v>
      </c>
      <c r="L136">
        <v>10293718</v>
      </c>
      <c r="M136" t="s">
        <v>201</v>
      </c>
    </row>
    <row r="137" spans="1:13" x14ac:dyDescent="0.2">
      <c r="A137" t="s">
        <v>142</v>
      </c>
      <c r="B137">
        <v>55</v>
      </c>
      <c r="C137">
        <v>354</v>
      </c>
      <c r="D137">
        <v>100</v>
      </c>
      <c r="E137" t="s">
        <v>6</v>
      </c>
      <c r="F137" t="s">
        <v>201</v>
      </c>
      <c r="G137" t="s">
        <v>201</v>
      </c>
      <c r="H137" t="s">
        <v>201</v>
      </c>
      <c r="I137" t="s">
        <v>201</v>
      </c>
      <c r="J137" t="s">
        <v>201</v>
      </c>
      <c r="K137" t="s">
        <v>201</v>
      </c>
      <c r="L137">
        <v>3337177</v>
      </c>
      <c r="M137" t="s">
        <v>201</v>
      </c>
    </row>
    <row r="138" spans="1:13" x14ac:dyDescent="0.2">
      <c r="A138" t="s">
        <v>143</v>
      </c>
      <c r="B138">
        <v>83</v>
      </c>
      <c r="C138">
        <v>11</v>
      </c>
      <c r="D138">
        <v>100</v>
      </c>
      <c r="E138" t="s">
        <v>6</v>
      </c>
      <c r="F138" t="s">
        <v>201</v>
      </c>
      <c r="G138" t="s">
        <v>201</v>
      </c>
      <c r="H138" t="s">
        <v>201</v>
      </c>
      <c r="I138" t="s">
        <v>201</v>
      </c>
      <c r="J138" t="s">
        <v>201</v>
      </c>
      <c r="K138" t="s">
        <v>201</v>
      </c>
      <c r="L138">
        <v>2639211</v>
      </c>
      <c r="M138" t="s">
        <v>201</v>
      </c>
    </row>
    <row r="139" spans="1:13" x14ac:dyDescent="0.2">
      <c r="A139" t="s">
        <v>144</v>
      </c>
      <c r="B139">
        <v>36</v>
      </c>
      <c r="C139">
        <v>547</v>
      </c>
      <c r="D139">
        <v>100</v>
      </c>
      <c r="E139" t="s">
        <v>6</v>
      </c>
      <c r="F139" t="s">
        <v>201</v>
      </c>
      <c r="G139" t="s">
        <v>201</v>
      </c>
      <c r="H139" t="s">
        <v>201</v>
      </c>
      <c r="I139" t="s">
        <v>201</v>
      </c>
      <c r="J139" t="s">
        <v>201</v>
      </c>
      <c r="K139" t="s">
        <v>201</v>
      </c>
      <c r="L139">
        <v>19586539</v>
      </c>
      <c r="M139" t="s">
        <v>201</v>
      </c>
    </row>
    <row r="140" spans="1:13" x14ac:dyDescent="0.2">
      <c r="A140" t="s">
        <v>145</v>
      </c>
      <c r="B140">
        <v>40</v>
      </c>
      <c r="C140">
        <v>44</v>
      </c>
      <c r="D140">
        <v>100</v>
      </c>
      <c r="E140" t="s">
        <v>6</v>
      </c>
      <c r="F140" t="s">
        <v>201</v>
      </c>
      <c r="G140" t="s">
        <v>201</v>
      </c>
      <c r="H140" t="s">
        <v>201</v>
      </c>
      <c r="I140" t="s">
        <v>201</v>
      </c>
      <c r="J140" t="s">
        <v>201</v>
      </c>
      <c r="K140" t="s">
        <v>201</v>
      </c>
      <c r="L140">
        <v>144495044</v>
      </c>
      <c r="M140" t="s">
        <v>201</v>
      </c>
    </row>
    <row r="141" spans="1:13" x14ac:dyDescent="0.2">
      <c r="A141" t="s">
        <v>146</v>
      </c>
      <c r="B141">
        <v>56</v>
      </c>
      <c r="C141">
        <v>2723</v>
      </c>
      <c r="D141">
        <v>29</v>
      </c>
      <c r="E141" t="s">
        <v>10</v>
      </c>
      <c r="F141">
        <v>25206</v>
      </c>
      <c r="G141">
        <v>789</v>
      </c>
      <c r="H141">
        <v>892</v>
      </c>
      <c r="I141">
        <v>0</v>
      </c>
      <c r="J141">
        <v>1681</v>
      </c>
      <c r="K141">
        <v>6.6690470522891371E-2</v>
      </c>
      <c r="L141">
        <v>12208407</v>
      </c>
      <c r="M141">
        <v>1.3769200191310791E-4</v>
      </c>
    </row>
    <row r="142" spans="1:13" x14ac:dyDescent="0.2">
      <c r="A142" t="s">
        <v>147</v>
      </c>
      <c r="B142">
        <v>89</v>
      </c>
      <c r="C142">
        <v>642</v>
      </c>
      <c r="D142">
        <v>100</v>
      </c>
      <c r="E142" t="s">
        <v>6</v>
      </c>
      <c r="F142" t="s">
        <v>201</v>
      </c>
      <c r="G142" t="s">
        <v>201</v>
      </c>
      <c r="H142" t="s">
        <v>201</v>
      </c>
      <c r="I142" t="s">
        <v>201</v>
      </c>
      <c r="J142" t="s">
        <v>201</v>
      </c>
      <c r="K142" t="s">
        <v>201</v>
      </c>
      <c r="L142">
        <v>196440</v>
      </c>
      <c r="M142" t="s">
        <v>201</v>
      </c>
    </row>
    <row r="143" spans="1:13" x14ac:dyDescent="0.2">
      <c r="A143" t="s">
        <v>148</v>
      </c>
      <c r="B143">
        <v>79</v>
      </c>
      <c r="C143">
        <v>59</v>
      </c>
      <c r="D143">
        <v>100</v>
      </c>
      <c r="E143" t="s">
        <v>6</v>
      </c>
      <c r="F143" t="s">
        <v>201</v>
      </c>
      <c r="G143" t="s">
        <v>201</v>
      </c>
      <c r="H143" t="s">
        <v>201</v>
      </c>
      <c r="I143" t="s">
        <v>201</v>
      </c>
      <c r="J143" t="s">
        <v>201</v>
      </c>
      <c r="K143" t="s">
        <v>201</v>
      </c>
      <c r="L143">
        <v>33400</v>
      </c>
      <c r="M143" t="s">
        <v>201</v>
      </c>
    </row>
    <row r="144" spans="1:13" x14ac:dyDescent="0.2">
      <c r="A144" t="s">
        <v>149</v>
      </c>
      <c r="B144">
        <v>162</v>
      </c>
      <c r="C144">
        <v>420</v>
      </c>
      <c r="D144">
        <v>65</v>
      </c>
      <c r="E144" t="s">
        <v>10</v>
      </c>
      <c r="F144" t="s">
        <v>201</v>
      </c>
      <c r="G144" t="s">
        <v>201</v>
      </c>
      <c r="H144" t="s">
        <v>201</v>
      </c>
      <c r="I144" t="s">
        <v>201</v>
      </c>
      <c r="J144" t="s">
        <v>201</v>
      </c>
      <c r="K144" t="s">
        <v>201</v>
      </c>
      <c r="L144">
        <v>204327</v>
      </c>
      <c r="M144" t="s">
        <v>201</v>
      </c>
    </row>
    <row r="145" spans="1:13" x14ac:dyDescent="0.2">
      <c r="A145" t="s">
        <v>150</v>
      </c>
      <c r="B145">
        <v>94</v>
      </c>
      <c r="C145">
        <v>31</v>
      </c>
      <c r="D145">
        <v>100</v>
      </c>
      <c r="E145" t="s">
        <v>6</v>
      </c>
      <c r="F145" t="s">
        <v>201</v>
      </c>
      <c r="G145" t="s">
        <v>201</v>
      </c>
      <c r="H145" t="s">
        <v>201</v>
      </c>
      <c r="I145" t="s">
        <v>201</v>
      </c>
      <c r="J145" t="s">
        <v>201</v>
      </c>
      <c r="K145" t="s">
        <v>201</v>
      </c>
      <c r="L145">
        <v>32938213</v>
      </c>
      <c r="M145" t="s">
        <v>201</v>
      </c>
    </row>
    <row r="146" spans="1:13" x14ac:dyDescent="0.2">
      <c r="A146" t="s">
        <v>151</v>
      </c>
      <c r="B146">
        <v>147</v>
      </c>
      <c r="C146">
        <v>3822</v>
      </c>
      <c r="D146">
        <v>65</v>
      </c>
      <c r="E146" t="s">
        <v>10</v>
      </c>
      <c r="F146">
        <v>196761</v>
      </c>
      <c r="G146">
        <v>1537</v>
      </c>
      <c r="H146">
        <v>7519</v>
      </c>
      <c r="I146">
        <v>5454</v>
      </c>
      <c r="J146">
        <v>14510</v>
      </c>
      <c r="K146">
        <v>7.3744288756410065E-2</v>
      </c>
      <c r="L146">
        <v>15850567</v>
      </c>
      <c r="M146">
        <v>9.1542466588103756E-4</v>
      </c>
    </row>
    <row r="147" spans="1:13" x14ac:dyDescent="0.2">
      <c r="A147" t="s">
        <v>152</v>
      </c>
      <c r="B147">
        <v>47</v>
      </c>
      <c r="C147">
        <v>236</v>
      </c>
      <c r="D147">
        <v>100</v>
      </c>
      <c r="E147" t="s">
        <v>6</v>
      </c>
      <c r="F147" t="s">
        <v>201</v>
      </c>
      <c r="G147" t="s">
        <v>201</v>
      </c>
      <c r="H147" t="s">
        <v>201</v>
      </c>
      <c r="I147" t="s">
        <v>201</v>
      </c>
      <c r="J147" t="s">
        <v>201</v>
      </c>
      <c r="K147" t="s">
        <v>201</v>
      </c>
      <c r="L147">
        <v>7022268</v>
      </c>
      <c r="M147" t="s">
        <v>201</v>
      </c>
    </row>
    <row r="148" spans="1:13" x14ac:dyDescent="0.2">
      <c r="A148" t="s">
        <v>153</v>
      </c>
      <c r="B148">
        <v>93</v>
      </c>
      <c r="C148">
        <v>365</v>
      </c>
      <c r="D148">
        <v>100</v>
      </c>
      <c r="E148" t="s">
        <v>10</v>
      </c>
      <c r="F148" t="s">
        <v>201</v>
      </c>
      <c r="G148" t="s">
        <v>201</v>
      </c>
      <c r="H148" t="s">
        <v>201</v>
      </c>
      <c r="I148" t="s">
        <v>201</v>
      </c>
      <c r="J148" t="s">
        <v>201</v>
      </c>
      <c r="K148" t="s">
        <v>201</v>
      </c>
      <c r="L148">
        <v>95843</v>
      </c>
      <c r="M148" t="s">
        <v>201</v>
      </c>
    </row>
    <row r="149" spans="1:13" x14ac:dyDescent="0.2">
      <c r="A149" t="s">
        <v>154</v>
      </c>
      <c r="B149">
        <v>148</v>
      </c>
      <c r="C149">
        <v>4224</v>
      </c>
      <c r="D149">
        <v>20</v>
      </c>
      <c r="E149" t="s">
        <v>10</v>
      </c>
      <c r="F149">
        <v>72322</v>
      </c>
      <c r="G149">
        <v>197</v>
      </c>
      <c r="H149">
        <v>1499</v>
      </c>
      <c r="I149">
        <v>0</v>
      </c>
      <c r="J149">
        <v>1696</v>
      </c>
      <c r="K149">
        <v>2.3450678908216033E-2</v>
      </c>
      <c r="L149">
        <v>7557212</v>
      </c>
      <c r="M149">
        <v>2.2442138714647678E-4</v>
      </c>
    </row>
    <row r="150" spans="1:13" x14ac:dyDescent="0.2">
      <c r="A150" t="s">
        <v>155</v>
      </c>
      <c r="B150">
        <v>2</v>
      </c>
      <c r="C150">
        <v>26</v>
      </c>
      <c r="D150">
        <v>100</v>
      </c>
      <c r="E150" t="s">
        <v>51</v>
      </c>
      <c r="F150" t="s">
        <v>201</v>
      </c>
      <c r="G150" t="s">
        <v>201</v>
      </c>
      <c r="H150" t="s">
        <v>201</v>
      </c>
      <c r="I150" t="s">
        <v>201</v>
      </c>
      <c r="J150" t="s">
        <v>201</v>
      </c>
      <c r="K150" t="s">
        <v>201</v>
      </c>
      <c r="L150">
        <v>5612253</v>
      </c>
      <c r="M150" t="s">
        <v>201</v>
      </c>
    </row>
    <row r="151" spans="1:13" x14ac:dyDescent="0.2">
      <c r="A151" t="s">
        <v>156</v>
      </c>
      <c r="B151">
        <v>33</v>
      </c>
      <c r="C151">
        <v>53</v>
      </c>
      <c r="D151">
        <v>100</v>
      </c>
      <c r="E151" t="s">
        <v>6</v>
      </c>
      <c r="F151" t="s">
        <v>201</v>
      </c>
      <c r="G151" t="s">
        <v>201</v>
      </c>
      <c r="H151" t="s">
        <v>201</v>
      </c>
      <c r="I151" t="s">
        <v>201</v>
      </c>
      <c r="J151" t="s">
        <v>201</v>
      </c>
      <c r="K151" t="s">
        <v>201</v>
      </c>
      <c r="L151">
        <v>5439892</v>
      </c>
      <c r="M151" t="s">
        <v>201</v>
      </c>
    </row>
    <row r="152" spans="1:13" x14ac:dyDescent="0.2">
      <c r="A152" t="s">
        <v>157</v>
      </c>
      <c r="B152">
        <v>30</v>
      </c>
      <c r="C152">
        <v>110</v>
      </c>
      <c r="D152">
        <v>100</v>
      </c>
      <c r="E152" t="s">
        <v>6</v>
      </c>
      <c r="F152" t="s">
        <v>201</v>
      </c>
      <c r="G152" t="s">
        <v>201</v>
      </c>
      <c r="H152" t="s">
        <v>201</v>
      </c>
      <c r="I152" t="s">
        <v>201</v>
      </c>
      <c r="J152" t="s">
        <v>201</v>
      </c>
      <c r="K152" t="s">
        <v>201</v>
      </c>
      <c r="L152">
        <v>2066748</v>
      </c>
      <c r="M152" t="s">
        <v>201</v>
      </c>
    </row>
    <row r="153" spans="1:13" x14ac:dyDescent="0.2">
      <c r="A153" t="s">
        <v>158</v>
      </c>
      <c r="B153">
        <v>104</v>
      </c>
      <c r="C153">
        <v>1254</v>
      </c>
      <c r="D153">
        <v>48</v>
      </c>
      <c r="E153" t="s">
        <v>6</v>
      </c>
      <c r="F153" t="s">
        <v>201</v>
      </c>
      <c r="G153" t="s">
        <v>201</v>
      </c>
      <c r="H153" t="s">
        <v>201</v>
      </c>
      <c r="I153" t="s">
        <v>201</v>
      </c>
      <c r="J153" t="s">
        <v>201</v>
      </c>
      <c r="K153" t="s">
        <v>201</v>
      </c>
      <c r="L153">
        <v>611343</v>
      </c>
      <c r="M153" t="s">
        <v>201</v>
      </c>
    </row>
    <row r="154" spans="1:13" x14ac:dyDescent="0.2">
      <c r="A154" t="s">
        <v>159</v>
      </c>
      <c r="B154">
        <v>190</v>
      </c>
      <c r="C154">
        <v>0</v>
      </c>
      <c r="D154">
        <v>30</v>
      </c>
      <c r="E154" t="s">
        <v>10</v>
      </c>
      <c r="F154">
        <v>633217</v>
      </c>
      <c r="G154">
        <v>13156</v>
      </c>
      <c r="H154">
        <v>25687</v>
      </c>
      <c r="I154">
        <v>43539</v>
      </c>
      <c r="J154">
        <v>82382</v>
      </c>
      <c r="K154">
        <v>0.13010073955689755</v>
      </c>
      <c r="L154">
        <v>14742523</v>
      </c>
      <c r="M154">
        <v>5.5880530082944415E-3</v>
      </c>
    </row>
    <row r="155" spans="1:13" x14ac:dyDescent="0.2">
      <c r="A155" t="s">
        <v>160</v>
      </c>
      <c r="B155">
        <v>74</v>
      </c>
      <c r="C155">
        <v>156</v>
      </c>
      <c r="D155">
        <v>84</v>
      </c>
      <c r="E155" t="s">
        <v>10</v>
      </c>
      <c r="F155">
        <v>1220394</v>
      </c>
      <c r="G155">
        <v>43275</v>
      </c>
      <c r="H155">
        <v>42243</v>
      </c>
      <c r="I155">
        <v>41195</v>
      </c>
      <c r="J155">
        <v>126713</v>
      </c>
      <c r="K155">
        <v>0.10382958290519291</v>
      </c>
      <c r="L155">
        <v>56717156</v>
      </c>
      <c r="M155">
        <v>2.2341211890102527E-3</v>
      </c>
    </row>
    <row r="156" spans="1:13" x14ac:dyDescent="0.2">
      <c r="A156" t="s">
        <v>161</v>
      </c>
      <c r="B156">
        <v>186</v>
      </c>
      <c r="C156">
        <v>0</v>
      </c>
      <c r="D156">
        <v>9</v>
      </c>
      <c r="E156" t="s">
        <v>10</v>
      </c>
      <c r="F156" t="s">
        <v>201</v>
      </c>
      <c r="G156" t="s">
        <v>201</v>
      </c>
      <c r="H156" t="s">
        <v>201</v>
      </c>
      <c r="I156" t="s">
        <v>201</v>
      </c>
      <c r="J156" t="s">
        <v>201</v>
      </c>
      <c r="K156" t="s">
        <v>201</v>
      </c>
      <c r="L156">
        <v>12575714</v>
      </c>
      <c r="M156" t="s">
        <v>201</v>
      </c>
    </row>
    <row r="157" spans="1:13" x14ac:dyDescent="0.2">
      <c r="A157" t="s">
        <v>162</v>
      </c>
      <c r="B157">
        <v>32</v>
      </c>
      <c r="C157">
        <v>103</v>
      </c>
      <c r="D157">
        <v>100</v>
      </c>
      <c r="E157" t="s">
        <v>6</v>
      </c>
      <c r="F157" t="s">
        <v>201</v>
      </c>
      <c r="G157" t="s">
        <v>201</v>
      </c>
      <c r="H157" t="s">
        <v>201</v>
      </c>
      <c r="I157" t="s">
        <v>201</v>
      </c>
      <c r="J157" t="s">
        <v>201</v>
      </c>
      <c r="K157" t="s">
        <v>201</v>
      </c>
      <c r="L157">
        <v>46572028</v>
      </c>
      <c r="M157" t="s">
        <v>201</v>
      </c>
    </row>
    <row r="158" spans="1:13" x14ac:dyDescent="0.2">
      <c r="A158" t="s">
        <v>163</v>
      </c>
      <c r="B158">
        <v>110</v>
      </c>
      <c r="C158">
        <v>769</v>
      </c>
      <c r="D158">
        <v>96</v>
      </c>
      <c r="E158" t="s">
        <v>6</v>
      </c>
      <c r="F158" t="s">
        <v>201</v>
      </c>
      <c r="G158" t="s">
        <v>201</v>
      </c>
      <c r="H158" t="s">
        <v>201</v>
      </c>
      <c r="I158" t="s">
        <v>201</v>
      </c>
      <c r="J158" t="s">
        <v>201</v>
      </c>
      <c r="K158" t="s">
        <v>201</v>
      </c>
      <c r="L158">
        <v>21444000</v>
      </c>
      <c r="M158" t="s">
        <v>201</v>
      </c>
    </row>
    <row r="159" spans="1:13" x14ac:dyDescent="0.2">
      <c r="A159" t="s">
        <v>164</v>
      </c>
      <c r="B159">
        <v>134</v>
      </c>
      <c r="C159">
        <v>241</v>
      </c>
      <c r="D159">
        <v>100</v>
      </c>
      <c r="E159" t="s">
        <v>6</v>
      </c>
      <c r="F159" t="s">
        <v>201</v>
      </c>
      <c r="G159" t="s">
        <v>201</v>
      </c>
      <c r="H159" t="s">
        <v>201</v>
      </c>
      <c r="I159" t="s">
        <v>201</v>
      </c>
      <c r="J159" t="s">
        <v>201</v>
      </c>
      <c r="K159" t="s">
        <v>201</v>
      </c>
      <c r="L159">
        <v>55345</v>
      </c>
      <c r="M159" t="s">
        <v>201</v>
      </c>
    </row>
    <row r="160" spans="1:13" x14ac:dyDescent="0.2">
      <c r="A160" t="s">
        <v>165</v>
      </c>
      <c r="B160">
        <v>86</v>
      </c>
      <c r="C160">
        <v>193</v>
      </c>
      <c r="D160">
        <v>98</v>
      </c>
      <c r="E160" t="s">
        <v>6</v>
      </c>
      <c r="F160" t="s">
        <v>201</v>
      </c>
      <c r="G160" t="s">
        <v>201</v>
      </c>
      <c r="H160" t="s">
        <v>201</v>
      </c>
      <c r="I160" t="s">
        <v>201</v>
      </c>
      <c r="J160" t="s">
        <v>201</v>
      </c>
      <c r="K160" t="s">
        <v>201</v>
      </c>
      <c r="L160">
        <v>178844</v>
      </c>
      <c r="M160" t="s">
        <v>201</v>
      </c>
    </row>
    <row r="161" spans="1:13" x14ac:dyDescent="0.2">
      <c r="A161" t="s">
        <v>166</v>
      </c>
      <c r="B161">
        <v>125</v>
      </c>
      <c r="C161">
        <v>57</v>
      </c>
      <c r="D161">
        <v>100</v>
      </c>
      <c r="E161" t="s">
        <v>6</v>
      </c>
      <c r="F161" t="s">
        <v>201</v>
      </c>
      <c r="G161" t="s">
        <v>201</v>
      </c>
      <c r="H161" t="s">
        <v>201</v>
      </c>
      <c r="I161" t="s">
        <v>201</v>
      </c>
      <c r="J161" t="s">
        <v>201</v>
      </c>
      <c r="K161" t="s">
        <v>201</v>
      </c>
      <c r="L161">
        <v>109897</v>
      </c>
      <c r="M161" t="s">
        <v>201</v>
      </c>
    </row>
    <row r="162" spans="1:13" x14ac:dyDescent="0.2">
      <c r="A162" t="s">
        <v>167</v>
      </c>
      <c r="B162">
        <v>168</v>
      </c>
      <c r="C162">
        <v>2687</v>
      </c>
      <c r="D162">
        <v>39</v>
      </c>
      <c r="E162" t="s">
        <v>10</v>
      </c>
      <c r="F162">
        <v>2503827</v>
      </c>
      <c r="G162">
        <v>77422</v>
      </c>
      <c r="H162">
        <v>87817</v>
      </c>
      <c r="I162">
        <v>61661</v>
      </c>
      <c r="J162">
        <v>226900</v>
      </c>
      <c r="K162">
        <v>9.0621276949246099E-2</v>
      </c>
      <c r="L162">
        <v>40533330</v>
      </c>
      <c r="M162">
        <v>5.5978623024557812E-3</v>
      </c>
    </row>
    <row r="163" spans="1:13" x14ac:dyDescent="0.2">
      <c r="A163" t="s">
        <v>168</v>
      </c>
      <c r="B163">
        <v>158</v>
      </c>
      <c r="C163">
        <v>484</v>
      </c>
      <c r="D163">
        <v>87</v>
      </c>
      <c r="E163" t="s">
        <v>6</v>
      </c>
      <c r="F163" t="s">
        <v>201</v>
      </c>
      <c r="G163" t="s">
        <v>201</v>
      </c>
      <c r="H163" t="s">
        <v>201</v>
      </c>
      <c r="I163" t="s">
        <v>201</v>
      </c>
      <c r="J163" t="s">
        <v>201</v>
      </c>
      <c r="K163" t="s">
        <v>201</v>
      </c>
      <c r="L163">
        <v>563402</v>
      </c>
      <c r="M163" t="s">
        <v>201</v>
      </c>
    </row>
    <row r="164" spans="1:13" x14ac:dyDescent="0.2">
      <c r="A164" t="s">
        <v>203</v>
      </c>
      <c r="B164">
        <v>111</v>
      </c>
      <c r="C164">
        <v>740</v>
      </c>
      <c r="D164">
        <v>66</v>
      </c>
      <c r="E164" t="s">
        <v>10</v>
      </c>
      <c r="F164">
        <v>17289</v>
      </c>
      <c r="G164">
        <v>559</v>
      </c>
      <c r="H164">
        <v>572</v>
      </c>
      <c r="I164">
        <v>476</v>
      </c>
      <c r="J164">
        <v>1607</v>
      </c>
      <c r="K164">
        <v>9.2949274104922208E-2</v>
      </c>
      <c r="L164">
        <v>1367254</v>
      </c>
      <c r="M164">
        <v>1.1753485453324694E-3</v>
      </c>
    </row>
    <row r="165" spans="1:13" x14ac:dyDescent="0.2">
      <c r="A165" t="s">
        <v>169</v>
      </c>
      <c r="B165">
        <v>9</v>
      </c>
      <c r="C165">
        <v>32</v>
      </c>
      <c r="D165">
        <v>100</v>
      </c>
      <c r="E165" t="s">
        <v>51</v>
      </c>
      <c r="F165" t="s">
        <v>201</v>
      </c>
      <c r="G165" t="s">
        <v>201</v>
      </c>
      <c r="H165" t="s">
        <v>201</v>
      </c>
      <c r="I165" t="s">
        <v>201</v>
      </c>
      <c r="J165" t="s">
        <v>201</v>
      </c>
      <c r="K165" t="s">
        <v>201</v>
      </c>
      <c r="L165">
        <v>10067744</v>
      </c>
      <c r="M165" t="s">
        <v>201</v>
      </c>
    </row>
    <row r="166" spans="1:13" x14ac:dyDescent="0.2">
      <c r="A166" t="s">
        <v>170</v>
      </c>
      <c r="B166">
        <v>31</v>
      </c>
      <c r="C166">
        <v>59</v>
      </c>
      <c r="D166">
        <v>100</v>
      </c>
      <c r="E166" t="s">
        <v>6</v>
      </c>
      <c r="F166" t="s">
        <v>201</v>
      </c>
      <c r="G166" t="s">
        <v>201</v>
      </c>
      <c r="H166" t="s">
        <v>201</v>
      </c>
      <c r="I166" t="s">
        <v>201</v>
      </c>
      <c r="J166" t="s">
        <v>201</v>
      </c>
      <c r="K166" t="s">
        <v>201</v>
      </c>
      <c r="L166">
        <v>8466017</v>
      </c>
      <c r="M166" t="s">
        <v>201</v>
      </c>
    </row>
    <row r="167" spans="1:13" x14ac:dyDescent="0.2">
      <c r="A167" t="s">
        <v>171</v>
      </c>
      <c r="B167">
        <v>173</v>
      </c>
      <c r="C167">
        <v>312</v>
      </c>
      <c r="D167">
        <v>100</v>
      </c>
      <c r="E167" t="s">
        <v>6</v>
      </c>
      <c r="F167" t="s">
        <v>201</v>
      </c>
      <c r="G167" t="s">
        <v>201</v>
      </c>
      <c r="H167" t="s">
        <v>201</v>
      </c>
      <c r="I167" t="s">
        <v>201</v>
      </c>
      <c r="J167" t="s">
        <v>201</v>
      </c>
      <c r="K167" t="s">
        <v>201</v>
      </c>
      <c r="L167">
        <v>18269868</v>
      </c>
      <c r="M167" t="s">
        <v>201</v>
      </c>
    </row>
    <row r="168" spans="1:13" x14ac:dyDescent="0.2">
      <c r="A168" t="s">
        <v>172</v>
      </c>
      <c r="B168">
        <v>128</v>
      </c>
      <c r="C168">
        <v>743</v>
      </c>
      <c r="D168">
        <v>100</v>
      </c>
      <c r="E168" t="s">
        <v>6</v>
      </c>
      <c r="F168" t="s">
        <v>201</v>
      </c>
      <c r="G168" t="s">
        <v>201</v>
      </c>
      <c r="H168" t="s">
        <v>201</v>
      </c>
      <c r="I168" t="s">
        <v>201</v>
      </c>
      <c r="J168" t="s">
        <v>201</v>
      </c>
      <c r="K168" t="s">
        <v>201</v>
      </c>
      <c r="L168">
        <v>8921343</v>
      </c>
      <c r="M168" t="s">
        <v>201</v>
      </c>
    </row>
    <row r="169" spans="1:13" x14ac:dyDescent="0.2">
      <c r="A169" t="s">
        <v>173</v>
      </c>
      <c r="B169">
        <v>132</v>
      </c>
      <c r="C169">
        <v>948</v>
      </c>
      <c r="D169">
        <v>33</v>
      </c>
      <c r="E169" t="s">
        <v>10</v>
      </c>
      <c r="F169">
        <v>941758</v>
      </c>
      <c r="G169">
        <v>31482</v>
      </c>
      <c r="H169">
        <v>38804</v>
      </c>
      <c r="I169">
        <v>18456</v>
      </c>
      <c r="J169">
        <v>88742</v>
      </c>
      <c r="K169">
        <v>9.423015254449657E-2</v>
      </c>
      <c r="L169">
        <v>57310019</v>
      </c>
      <c r="M169">
        <v>1.5484552535220762E-3</v>
      </c>
    </row>
    <row r="170" spans="1:13" x14ac:dyDescent="0.2">
      <c r="A170" t="s">
        <v>174</v>
      </c>
      <c r="B170">
        <v>46</v>
      </c>
      <c r="C170">
        <v>43</v>
      </c>
      <c r="D170">
        <v>100</v>
      </c>
      <c r="E170" t="s">
        <v>6</v>
      </c>
      <c r="F170" t="s">
        <v>201</v>
      </c>
      <c r="G170" t="s">
        <v>201</v>
      </c>
      <c r="H170" t="s">
        <v>201</v>
      </c>
      <c r="I170" t="s">
        <v>201</v>
      </c>
      <c r="J170" t="s">
        <v>201</v>
      </c>
      <c r="K170" t="s">
        <v>201</v>
      </c>
      <c r="L170">
        <v>69037513</v>
      </c>
      <c r="M170" t="s">
        <v>201</v>
      </c>
    </row>
    <row r="171" spans="1:13" x14ac:dyDescent="0.2">
      <c r="A171" t="s">
        <v>175</v>
      </c>
      <c r="B171">
        <v>175</v>
      </c>
      <c r="C171">
        <v>1218</v>
      </c>
      <c r="D171">
        <v>63</v>
      </c>
      <c r="E171" t="s">
        <v>6</v>
      </c>
      <c r="F171" t="s">
        <v>201</v>
      </c>
      <c r="G171" t="s">
        <v>201</v>
      </c>
      <c r="H171" t="s">
        <v>201</v>
      </c>
      <c r="I171" t="s">
        <v>201</v>
      </c>
      <c r="J171" t="s">
        <v>201</v>
      </c>
      <c r="K171" t="s">
        <v>201</v>
      </c>
      <c r="L171">
        <v>1296311</v>
      </c>
      <c r="M171" t="s">
        <v>201</v>
      </c>
    </row>
    <row r="172" spans="1:13" x14ac:dyDescent="0.2">
      <c r="A172" t="s">
        <v>176</v>
      </c>
      <c r="B172">
        <v>154</v>
      </c>
      <c r="C172">
        <v>5508</v>
      </c>
      <c r="D172">
        <v>47</v>
      </c>
      <c r="E172" t="s">
        <v>10</v>
      </c>
      <c r="F172">
        <v>57038</v>
      </c>
      <c r="G172">
        <v>0</v>
      </c>
      <c r="H172">
        <v>1257</v>
      </c>
      <c r="I172">
        <v>79</v>
      </c>
      <c r="J172">
        <v>1336</v>
      </c>
      <c r="K172">
        <v>2.3422981170447773E-2</v>
      </c>
      <c r="L172">
        <v>7797694</v>
      </c>
      <c r="M172">
        <v>1.7133270425846411E-4</v>
      </c>
    </row>
    <row r="173" spans="1:13" x14ac:dyDescent="0.2">
      <c r="A173" t="s">
        <v>177</v>
      </c>
      <c r="B173">
        <v>85</v>
      </c>
      <c r="C173">
        <v>86</v>
      </c>
      <c r="D173">
        <v>97</v>
      </c>
      <c r="E173" t="s">
        <v>6</v>
      </c>
      <c r="F173" t="s">
        <v>201</v>
      </c>
      <c r="G173" t="s">
        <v>201</v>
      </c>
      <c r="H173" t="s">
        <v>201</v>
      </c>
      <c r="I173" t="s">
        <v>201</v>
      </c>
      <c r="J173" t="s">
        <v>201</v>
      </c>
      <c r="K173" t="s">
        <v>201</v>
      </c>
      <c r="L173">
        <v>108020</v>
      </c>
      <c r="M173" t="s">
        <v>201</v>
      </c>
    </row>
    <row r="174" spans="1:13" x14ac:dyDescent="0.2">
      <c r="A174" t="s">
        <v>178</v>
      </c>
      <c r="B174">
        <v>96</v>
      </c>
      <c r="C174">
        <v>177</v>
      </c>
      <c r="D174">
        <v>100</v>
      </c>
      <c r="E174" t="s">
        <v>6</v>
      </c>
      <c r="F174" t="s">
        <v>201</v>
      </c>
      <c r="G174" t="s">
        <v>201</v>
      </c>
      <c r="H174" t="s">
        <v>201</v>
      </c>
      <c r="I174" t="s">
        <v>201</v>
      </c>
      <c r="J174" t="s">
        <v>201</v>
      </c>
      <c r="K174" t="s">
        <v>201</v>
      </c>
      <c r="L174">
        <v>1369125</v>
      </c>
      <c r="M174" t="s">
        <v>201</v>
      </c>
    </row>
    <row r="175" spans="1:13" x14ac:dyDescent="0.2">
      <c r="A175" t="s">
        <v>179</v>
      </c>
      <c r="B175">
        <v>77</v>
      </c>
      <c r="C175">
        <v>697</v>
      </c>
      <c r="D175">
        <v>100</v>
      </c>
      <c r="E175" t="s">
        <v>6</v>
      </c>
      <c r="F175">
        <v>155176</v>
      </c>
      <c r="G175">
        <v>2045</v>
      </c>
      <c r="H175">
        <v>4645</v>
      </c>
      <c r="I175">
        <v>6842</v>
      </c>
      <c r="J175">
        <v>13532</v>
      </c>
      <c r="K175">
        <v>8.7204206836108675E-2</v>
      </c>
      <c r="L175">
        <v>11532127</v>
      </c>
      <c r="M175">
        <v>1.1734175317354727E-3</v>
      </c>
    </row>
    <row r="176" spans="1:13" x14ac:dyDescent="0.2">
      <c r="A176" t="s">
        <v>180</v>
      </c>
      <c r="B176">
        <v>69</v>
      </c>
      <c r="C176">
        <v>600</v>
      </c>
      <c r="D176">
        <v>100</v>
      </c>
      <c r="E176" t="s">
        <v>6</v>
      </c>
      <c r="F176" t="s">
        <v>201</v>
      </c>
      <c r="G176" t="s">
        <v>201</v>
      </c>
      <c r="H176" t="s">
        <v>201</v>
      </c>
      <c r="I176" t="s">
        <v>201</v>
      </c>
      <c r="J176" t="s">
        <v>201</v>
      </c>
      <c r="K176" t="s">
        <v>201</v>
      </c>
      <c r="L176">
        <v>80745020</v>
      </c>
      <c r="M176" t="s">
        <v>201</v>
      </c>
    </row>
    <row r="177" spans="1:13" x14ac:dyDescent="0.2">
      <c r="A177" t="s">
        <v>181</v>
      </c>
      <c r="B177">
        <v>115</v>
      </c>
      <c r="C177">
        <v>8449</v>
      </c>
      <c r="D177">
        <v>27</v>
      </c>
      <c r="E177" t="s">
        <v>10</v>
      </c>
      <c r="F177">
        <v>241278</v>
      </c>
      <c r="G177">
        <v>8582</v>
      </c>
      <c r="H177">
        <v>9470</v>
      </c>
      <c r="I177">
        <v>815</v>
      </c>
      <c r="J177">
        <v>18867</v>
      </c>
      <c r="K177">
        <v>7.8196105736950738E-2</v>
      </c>
      <c r="L177">
        <v>42862958</v>
      </c>
      <c r="M177">
        <v>4.4017027476265169E-4</v>
      </c>
    </row>
    <row r="178" spans="1:13" x14ac:dyDescent="0.2">
      <c r="A178" t="s">
        <v>182</v>
      </c>
      <c r="B178">
        <v>80</v>
      </c>
      <c r="C178">
        <v>638</v>
      </c>
      <c r="D178">
        <v>100</v>
      </c>
      <c r="E178" t="s">
        <v>6</v>
      </c>
      <c r="F178" t="s">
        <v>201</v>
      </c>
      <c r="G178" t="s">
        <v>201</v>
      </c>
      <c r="H178" t="s">
        <v>201</v>
      </c>
      <c r="I178" t="s">
        <v>201</v>
      </c>
      <c r="J178" t="s">
        <v>201</v>
      </c>
      <c r="K178" t="s">
        <v>201</v>
      </c>
      <c r="L178">
        <v>44831159</v>
      </c>
      <c r="M178" t="s">
        <v>201</v>
      </c>
    </row>
    <row r="179" spans="1:13" x14ac:dyDescent="0.2">
      <c r="A179" t="s">
        <v>183</v>
      </c>
      <c r="B179">
        <v>26</v>
      </c>
      <c r="C179">
        <v>25</v>
      </c>
      <c r="D179">
        <v>100</v>
      </c>
      <c r="E179" t="s">
        <v>6</v>
      </c>
      <c r="F179" t="s">
        <v>201</v>
      </c>
      <c r="G179" t="s">
        <v>201</v>
      </c>
      <c r="H179" t="s">
        <v>201</v>
      </c>
      <c r="I179" t="s">
        <v>201</v>
      </c>
      <c r="J179" t="s">
        <v>201</v>
      </c>
      <c r="K179" t="s">
        <v>201</v>
      </c>
      <c r="L179">
        <v>9400145</v>
      </c>
      <c r="M179" t="s">
        <v>201</v>
      </c>
    </row>
    <row r="180" spans="1:13" x14ac:dyDescent="0.2">
      <c r="A180" t="s">
        <v>184</v>
      </c>
      <c r="B180">
        <v>7</v>
      </c>
      <c r="C180">
        <v>26</v>
      </c>
      <c r="D180">
        <v>100</v>
      </c>
      <c r="E180" t="s">
        <v>51</v>
      </c>
      <c r="F180" t="s">
        <v>201</v>
      </c>
      <c r="G180" t="s">
        <v>201</v>
      </c>
      <c r="H180" t="s">
        <v>201</v>
      </c>
      <c r="I180" t="s">
        <v>201</v>
      </c>
      <c r="J180" t="s">
        <v>201</v>
      </c>
      <c r="K180" t="s">
        <v>201</v>
      </c>
      <c r="L180">
        <v>66022273</v>
      </c>
      <c r="M180" t="s">
        <v>201</v>
      </c>
    </row>
    <row r="181" spans="1:13" x14ac:dyDescent="0.2">
      <c r="A181" t="s">
        <v>185</v>
      </c>
      <c r="B181">
        <v>8</v>
      </c>
      <c r="C181">
        <v>24</v>
      </c>
      <c r="D181">
        <v>100</v>
      </c>
      <c r="E181" t="s">
        <v>51</v>
      </c>
      <c r="F181">
        <v>9834000</v>
      </c>
      <c r="G181">
        <v>116100</v>
      </c>
      <c r="H181">
        <v>283710</v>
      </c>
      <c r="I181">
        <v>49760</v>
      </c>
      <c r="J181">
        <v>449570</v>
      </c>
      <c r="K181">
        <v>4.5715883668903806E-2</v>
      </c>
      <c r="L181">
        <v>325719178</v>
      </c>
      <c r="M181">
        <v>1.380238040512309E-3</v>
      </c>
    </row>
    <row r="182" spans="1:13" x14ac:dyDescent="0.2">
      <c r="A182" t="s">
        <v>186</v>
      </c>
      <c r="B182">
        <v>90</v>
      </c>
      <c r="C182">
        <v>13</v>
      </c>
      <c r="D182">
        <v>100</v>
      </c>
      <c r="E182" t="s">
        <v>6</v>
      </c>
      <c r="F182" t="s">
        <v>201</v>
      </c>
      <c r="G182" t="s">
        <v>201</v>
      </c>
      <c r="H182" t="s">
        <v>201</v>
      </c>
      <c r="I182" t="s">
        <v>201</v>
      </c>
      <c r="J182" t="s">
        <v>201</v>
      </c>
      <c r="K182" t="s">
        <v>201</v>
      </c>
      <c r="L182">
        <v>3456750</v>
      </c>
      <c r="M182" t="s">
        <v>201</v>
      </c>
    </row>
    <row r="183" spans="1:13" x14ac:dyDescent="0.2">
      <c r="A183" t="s">
        <v>187</v>
      </c>
      <c r="B183">
        <v>87</v>
      </c>
      <c r="C183">
        <v>1233</v>
      </c>
      <c r="D183">
        <v>100</v>
      </c>
      <c r="E183" t="s">
        <v>6</v>
      </c>
      <c r="F183" t="s">
        <v>201</v>
      </c>
      <c r="G183" t="s">
        <v>201</v>
      </c>
      <c r="H183" t="s">
        <v>201</v>
      </c>
      <c r="I183" t="s">
        <v>201</v>
      </c>
      <c r="J183" t="s">
        <v>201</v>
      </c>
      <c r="K183" t="s">
        <v>201</v>
      </c>
      <c r="L183">
        <v>32387200</v>
      </c>
      <c r="M183" t="s">
        <v>201</v>
      </c>
    </row>
    <row r="184" spans="1:13" x14ac:dyDescent="0.2">
      <c r="A184" t="s">
        <v>188</v>
      </c>
      <c r="B184">
        <v>83</v>
      </c>
      <c r="C184">
        <v>1091</v>
      </c>
      <c r="D184">
        <v>58</v>
      </c>
      <c r="E184" t="s">
        <v>6</v>
      </c>
      <c r="F184" t="s">
        <v>201</v>
      </c>
      <c r="G184" t="s">
        <v>201</v>
      </c>
      <c r="H184" t="s">
        <v>201</v>
      </c>
      <c r="I184" t="s">
        <v>201</v>
      </c>
      <c r="J184" t="s">
        <v>201</v>
      </c>
      <c r="K184" t="s">
        <v>201</v>
      </c>
      <c r="L184">
        <v>276244</v>
      </c>
      <c r="M184" t="s">
        <v>201</v>
      </c>
    </row>
    <row r="185" spans="1:13" x14ac:dyDescent="0.2">
      <c r="A185" t="s">
        <v>189</v>
      </c>
      <c r="B185">
        <v>187</v>
      </c>
      <c r="C185">
        <v>18867</v>
      </c>
      <c r="D185">
        <v>100</v>
      </c>
      <c r="E185" t="s">
        <v>6</v>
      </c>
      <c r="F185" t="s">
        <v>201</v>
      </c>
      <c r="G185" t="s">
        <v>201</v>
      </c>
      <c r="H185" t="s">
        <v>201</v>
      </c>
      <c r="I185" t="s">
        <v>201</v>
      </c>
      <c r="J185" t="s">
        <v>201</v>
      </c>
      <c r="K185" t="s">
        <v>201</v>
      </c>
      <c r="L185">
        <v>31977065</v>
      </c>
      <c r="M185" t="s">
        <v>201</v>
      </c>
    </row>
    <row r="186" spans="1:13" x14ac:dyDescent="0.2">
      <c r="A186" t="s">
        <v>190</v>
      </c>
      <c r="B186">
        <v>82</v>
      </c>
      <c r="C186">
        <v>1261</v>
      </c>
      <c r="D186">
        <v>100</v>
      </c>
      <c r="E186" t="s">
        <v>6</v>
      </c>
      <c r="F186" t="s">
        <v>201</v>
      </c>
      <c r="G186" t="s">
        <v>201</v>
      </c>
      <c r="H186" t="s">
        <v>201</v>
      </c>
      <c r="I186" t="s">
        <v>201</v>
      </c>
      <c r="J186" t="s">
        <v>201</v>
      </c>
      <c r="K186" t="s">
        <v>201</v>
      </c>
      <c r="L186">
        <v>95540800</v>
      </c>
      <c r="M186" t="s">
        <v>201</v>
      </c>
    </row>
    <row r="187" spans="1:13" x14ac:dyDescent="0.2">
      <c r="A187" t="s">
        <v>191</v>
      </c>
      <c r="B187">
        <v>140</v>
      </c>
      <c r="C187">
        <v>1541</v>
      </c>
      <c r="D187">
        <v>100</v>
      </c>
      <c r="E187" t="s">
        <v>6</v>
      </c>
      <c r="F187" t="s">
        <v>201</v>
      </c>
      <c r="G187" t="s">
        <v>201</v>
      </c>
      <c r="H187" t="s">
        <v>201</v>
      </c>
      <c r="I187" t="s">
        <v>201</v>
      </c>
      <c r="J187" t="s">
        <v>201</v>
      </c>
      <c r="K187" t="s">
        <v>201</v>
      </c>
      <c r="L187">
        <v>4684777</v>
      </c>
      <c r="M187" t="s">
        <v>201</v>
      </c>
    </row>
    <row r="188" spans="1:13" x14ac:dyDescent="0.2">
      <c r="A188" t="s">
        <v>192</v>
      </c>
      <c r="B188">
        <v>179</v>
      </c>
      <c r="C188">
        <v>0</v>
      </c>
      <c r="D188">
        <v>72</v>
      </c>
      <c r="E188" t="s">
        <v>6</v>
      </c>
      <c r="F188" t="s">
        <v>201</v>
      </c>
      <c r="G188" t="s">
        <v>201</v>
      </c>
      <c r="H188" t="s">
        <v>201</v>
      </c>
      <c r="I188" t="s">
        <v>201</v>
      </c>
      <c r="J188" t="s">
        <v>201</v>
      </c>
      <c r="K188" t="s">
        <v>201</v>
      </c>
      <c r="L188">
        <v>28250420</v>
      </c>
      <c r="M188" t="s">
        <v>201</v>
      </c>
    </row>
    <row r="189" spans="1:13" x14ac:dyDescent="0.2">
      <c r="A189" t="s">
        <v>193</v>
      </c>
      <c r="B189">
        <v>98</v>
      </c>
      <c r="C189">
        <v>610</v>
      </c>
      <c r="D189">
        <v>27</v>
      </c>
      <c r="E189" t="s">
        <v>10</v>
      </c>
      <c r="F189">
        <v>751315</v>
      </c>
      <c r="G189">
        <v>15691</v>
      </c>
      <c r="H189">
        <v>17894</v>
      </c>
      <c r="I189">
        <v>13229</v>
      </c>
      <c r="J189">
        <v>46814</v>
      </c>
      <c r="K189">
        <v>6.2309417488004365E-2</v>
      </c>
      <c r="L189">
        <v>17094130</v>
      </c>
      <c r="M189">
        <v>2.7386009115409793E-3</v>
      </c>
    </row>
    <row r="190" spans="1:13" x14ac:dyDescent="0.2">
      <c r="A190" t="s">
        <v>194</v>
      </c>
      <c r="B190">
        <v>161</v>
      </c>
      <c r="C190">
        <v>2958</v>
      </c>
      <c r="D190">
        <v>38</v>
      </c>
      <c r="E190" t="s">
        <v>10</v>
      </c>
      <c r="F190">
        <v>390649</v>
      </c>
      <c r="G190">
        <v>11874</v>
      </c>
      <c r="H190">
        <v>15684</v>
      </c>
      <c r="I190">
        <v>12137</v>
      </c>
      <c r="J190">
        <v>39695</v>
      </c>
      <c r="K190">
        <v>0.10161295689992807</v>
      </c>
      <c r="L190">
        <v>16529904</v>
      </c>
      <c r="M190">
        <v>2.4014053560141666E-3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all_cleaned_formulas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Levinson</dc:creator>
  <cp:lastModifiedBy>Andrew Levinson</cp:lastModifiedBy>
  <dcterms:created xsi:type="dcterms:W3CDTF">2018-11-07T17:39:11Z</dcterms:created>
  <dcterms:modified xsi:type="dcterms:W3CDTF">2018-11-07T21:23:15Z</dcterms:modified>
</cp:coreProperties>
</file>